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e\OneDrive\바탕 화면\"/>
    </mc:Choice>
  </mc:AlternateContent>
  <xr:revisionPtr revIDLastSave="0" documentId="13_ncr:1_{8806D4CE-0FF7-4C6A-BDBD-5871CB7ED2FC}" xr6:coauthVersionLast="47" xr6:coauthVersionMax="47" xr10:uidLastSave="{00000000-0000-0000-0000-000000000000}"/>
  <bookViews>
    <workbookView xWindow="17150" yWindow="20" windowWidth="20860" windowHeight="20860" xr2:uid="{00000000-000D-0000-FFFF-FFFF00000000}"/>
  </bookViews>
  <sheets>
    <sheet name="6월 종합" sheetId="1" r:id="rId1"/>
    <sheet name="6월1일" sheetId="2" r:id="rId2"/>
    <sheet name="6월2일" sheetId="3" r:id="rId3"/>
    <sheet name="6월3일" sheetId="4" r:id="rId4"/>
    <sheet name="6월4일" sheetId="5" r:id="rId5"/>
    <sheet name="6월5일" sheetId="6" r:id="rId6"/>
    <sheet name="6월6일" sheetId="7" r:id="rId7"/>
    <sheet name="6월7일" sheetId="8" r:id="rId8"/>
    <sheet name="6월8일" sheetId="9" r:id="rId9"/>
    <sheet name="6월9일" sheetId="10" r:id="rId10"/>
    <sheet name="6월10일" sheetId="11" r:id="rId11"/>
    <sheet name="6월11일" sheetId="12" r:id="rId12"/>
    <sheet name="6월12일" sheetId="13" r:id="rId13"/>
    <sheet name="6월13일" sheetId="14" r:id="rId14"/>
    <sheet name="6월14일" sheetId="15" r:id="rId15"/>
    <sheet name="6월15일" sheetId="16" r:id="rId16"/>
    <sheet name="6월16일" sheetId="17" r:id="rId17"/>
    <sheet name="6월17일" sheetId="18" r:id="rId18"/>
    <sheet name="6월18일" sheetId="19" r:id="rId19"/>
    <sheet name="6월19일" sheetId="20" r:id="rId20"/>
    <sheet name="6월20일" sheetId="21" r:id="rId21"/>
    <sheet name="6월21일" sheetId="22" r:id="rId22"/>
    <sheet name="6월22일" sheetId="23" r:id="rId23"/>
    <sheet name="6월23일" sheetId="24" r:id="rId24"/>
    <sheet name="6월24일" sheetId="25" r:id="rId25"/>
    <sheet name="6월25일" sheetId="26" r:id="rId26"/>
    <sheet name="6월26일" sheetId="27" r:id="rId27"/>
    <sheet name="6월27일" sheetId="28" r:id="rId28"/>
    <sheet name="6월28일" sheetId="29" r:id="rId29"/>
    <sheet name="6월29일" sheetId="30" r:id="rId30"/>
    <sheet name="6월30일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1" l="1"/>
  <c r="C35" i="1" s="1"/>
  <c r="N26" i="31"/>
  <c r="J26" i="31"/>
  <c r="I26" i="31"/>
  <c r="K26" i="31" s="1"/>
  <c r="F26" i="31"/>
  <c r="E26" i="31"/>
  <c r="I27" i="31" s="1"/>
  <c r="B35" i="1" s="1"/>
  <c r="K25" i="31"/>
  <c r="G25" i="31"/>
  <c r="K24" i="31"/>
  <c r="G24" i="31"/>
  <c r="K23" i="31"/>
  <c r="G23" i="31"/>
  <c r="K22" i="31"/>
  <c r="G22" i="31"/>
  <c r="K21" i="31"/>
  <c r="G21" i="31"/>
  <c r="K20" i="31"/>
  <c r="G20" i="31"/>
  <c r="K19" i="31"/>
  <c r="G19" i="31"/>
  <c r="K18" i="31"/>
  <c r="G18" i="31"/>
  <c r="K17" i="31"/>
  <c r="G17" i="31"/>
  <c r="K16" i="31"/>
  <c r="G16" i="31"/>
  <c r="K15" i="31"/>
  <c r="G15" i="31"/>
  <c r="K14" i="31"/>
  <c r="G14" i="31"/>
  <c r="K13" i="31"/>
  <c r="G13" i="31"/>
  <c r="K12" i="31"/>
  <c r="G12" i="31"/>
  <c r="K11" i="31"/>
  <c r="G11" i="31"/>
  <c r="K10" i="31"/>
  <c r="G10" i="31"/>
  <c r="K9" i="31"/>
  <c r="G9" i="31"/>
  <c r="K8" i="31"/>
  <c r="G8" i="31"/>
  <c r="K7" i="31"/>
  <c r="G7" i="31"/>
  <c r="K6" i="31"/>
  <c r="G6" i="31"/>
  <c r="J27" i="30"/>
  <c r="C34" i="1" s="1"/>
  <c r="I27" i="30"/>
  <c r="N26" i="30"/>
  <c r="J26" i="30"/>
  <c r="I26" i="30"/>
  <c r="K26" i="30" s="1"/>
  <c r="G26" i="30"/>
  <c r="L26" i="30" s="1"/>
  <c r="D34" i="1" s="1"/>
  <c r="F26" i="30"/>
  <c r="E26" i="30"/>
  <c r="K25" i="30"/>
  <c r="G25" i="30"/>
  <c r="K24" i="30"/>
  <c r="G24" i="30"/>
  <c r="K23" i="30"/>
  <c r="G23" i="30"/>
  <c r="K22" i="30"/>
  <c r="G22" i="30"/>
  <c r="K21" i="30"/>
  <c r="G21" i="30"/>
  <c r="K20" i="30"/>
  <c r="G20" i="30"/>
  <c r="K19" i="30"/>
  <c r="G19" i="30"/>
  <c r="K18" i="30"/>
  <c r="G18" i="30"/>
  <c r="K17" i="30"/>
  <c r="G17" i="30"/>
  <c r="K16" i="30"/>
  <c r="G16" i="30"/>
  <c r="K15" i="30"/>
  <c r="G15" i="30"/>
  <c r="K14" i="30"/>
  <c r="G14" i="30"/>
  <c r="K13" i="30"/>
  <c r="G13" i="30"/>
  <c r="K12" i="30"/>
  <c r="G12" i="30"/>
  <c r="K11" i="30"/>
  <c r="G11" i="30"/>
  <c r="K10" i="30"/>
  <c r="G10" i="30"/>
  <c r="K9" i="30"/>
  <c r="G9" i="30"/>
  <c r="K8" i="30"/>
  <c r="G8" i="30"/>
  <c r="K7" i="30"/>
  <c r="G7" i="30"/>
  <c r="K6" i="30"/>
  <c r="G6" i="30"/>
  <c r="N26" i="29"/>
  <c r="J26" i="29"/>
  <c r="I26" i="29"/>
  <c r="K26" i="29" s="1"/>
  <c r="G26" i="29"/>
  <c r="F26" i="29"/>
  <c r="J27" i="29" s="1"/>
  <c r="C33" i="1" s="1"/>
  <c r="E26" i="29"/>
  <c r="I27" i="29" s="1"/>
  <c r="B33" i="1" s="1"/>
  <c r="K25" i="29"/>
  <c r="G25" i="29"/>
  <c r="K24" i="29"/>
  <c r="G24" i="29"/>
  <c r="K23" i="29"/>
  <c r="G23" i="29"/>
  <c r="K22" i="29"/>
  <c r="G22" i="29"/>
  <c r="K21" i="29"/>
  <c r="G21" i="29"/>
  <c r="K20" i="29"/>
  <c r="G20" i="29"/>
  <c r="K19" i="29"/>
  <c r="G19" i="29"/>
  <c r="K18" i="29"/>
  <c r="G18" i="29"/>
  <c r="K17" i="29"/>
  <c r="G17" i="29"/>
  <c r="K16" i="29"/>
  <c r="G16" i="29"/>
  <c r="K15" i="29"/>
  <c r="G15" i="29"/>
  <c r="K14" i="29"/>
  <c r="G14" i="29"/>
  <c r="K13" i="29"/>
  <c r="G13" i="29"/>
  <c r="K12" i="29"/>
  <c r="G12" i="29"/>
  <c r="K11" i="29"/>
  <c r="G11" i="29"/>
  <c r="K10" i="29"/>
  <c r="G10" i="29"/>
  <c r="K9" i="29"/>
  <c r="G9" i="29"/>
  <c r="K8" i="29"/>
  <c r="G8" i="29"/>
  <c r="K7" i="29"/>
  <c r="G7" i="29"/>
  <c r="K6" i="29"/>
  <c r="G6" i="29"/>
  <c r="N26" i="28"/>
  <c r="J26" i="28"/>
  <c r="J27" i="28" s="1"/>
  <c r="C32" i="1" s="1"/>
  <c r="I26" i="28"/>
  <c r="F26" i="28"/>
  <c r="E26" i="28"/>
  <c r="I27" i="28" s="1"/>
  <c r="B32" i="1" s="1"/>
  <c r="K25" i="28"/>
  <c r="G25" i="28"/>
  <c r="K24" i="28"/>
  <c r="G24" i="28"/>
  <c r="K23" i="28"/>
  <c r="G23" i="28"/>
  <c r="K22" i="28"/>
  <c r="G22" i="28"/>
  <c r="K21" i="28"/>
  <c r="G21" i="28"/>
  <c r="K20" i="28"/>
  <c r="G20" i="28"/>
  <c r="K19" i="28"/>
  <c r="G19" i="28"/>
  <c r="K18" i="28"/>
  <c r="G18" i="28"/>
  <c r="K17" i="28"/>
  <c r="G17" i="28"/>
  <c r="K16" i="28"/>
  <c r="G16" i="28"/>
  <c r="K15" i="28"/>
  <c r="G15" i="28"/>
  <c r="K14" i="28"/>
  <c r="G14" i="28"/>
  <c r="K13" i="28"/>
  <c r="G13" i="28"/>
  <c r="K12" i="28"/>
  <c r="G12" i="28"/>
  <c r="K11" i="28"/>
  <c r="G11" i="28"/>
  <c r="K10" i="28"/>
  <c r="G10" i="28"/>
  <c r="K9" i="28"/>
  <c r="G9" i="28"/>
  <c r="K8" i="28"/>
  <c r="G8" i="28"/>
  <c r="K7" i="28"/>
  <c r="G7" i="28"/>
  <c r="K6" i="28"/>
  <c r="G6" i="28"/>
  <c r="N26" i="27"/>
  <c r="J26" i="27"/>
  <c r="J27" i="27" s="1"/>
  <c r="C31" i="1" s="1"/>
  <c r="I26" i="27"/>
  <c r="G26" i="27"/>
  <c r="F26" i="27"/>
  <c r="E26" i="27"/>
  <c r="I27" i="27" s="1"/>
  <c r="B31" i="1" s="1"/>
  <c r="K25" i="27"/>
  <c r="G25" i="27"/>
  <c r="K24" i="27"/>
  <c r="G24" i="27"/>
  <c r="K23" i="27"/>
  <c r="G23" i="27"/>
  <c r="K22" i="27"/>
  <c r="G22" i="27"/>
  <c r="K21" i="27"/>
  <c r="G21" i="27"/>
  <c r="K20" i="27"/>
  <c r="G20" i="27"/>
  <c r="K19" i="27"/>
  <c r="G19" i="27"/>
  <c r="K18" i="27"/>
  <c r="G18" i="27"/>
  <c r="K17" i="27"/>
  <c r="G17" i="27"/>
  <c r="K16" i="27"/>
  <c r="G16" i="27"/>
  <c r="K15" i="27"/>
  <c r="G15" i="27"/>
  <c r="K14" i="27"/>
  <c r="G14" i="27"/>
  <c r="K13" i="27"/>
  <c r="G13" i="27"/>
  <c r="K12" i="27"/>
  <c r="G12" i="27"/>
  <c r="K11" i="27"/>
  <c r="G11" i="27"/>
  <c r="K10" i="27"/>
  <c r="G10" i="27"/>
  <c r="K9" i="27"/>
  <c r="G9" i="27"/>
  <c r="K8" i="27"/>
  <c r="G8" i="27"/>
  <c r="K7" i="27"/>
  <c r="G7" i="27"/>
  <c r="K6" i="27"/>
  <c r="G6" i="27"/>
  <c r="I27" i="26"/>
  <c r="B30" i="1" s="1"/>
  <c r="N26" i="26"/>
  <c r="J26" i="26"/>
  <c r="I26" i="26"/>
  <c r="K26" i="26" s="1"/>
  <c r="F26" i="26"/>
  <c r="J27" i="26" s="1"/>
  <c r="C30" i="1" s="1"/>
  <c r="E26" i="26"/>
  <c r="G26" i="26" s="1"/>
  <c r="L26" i="26" s="1"/>
  <c r="D30" i="1" s="1"/>
  <c r="K25" i="26"/>
  <c r="G25" i="26"/>
  <c r="K24" i="26"/>
  <c r="G24" i="26"/>
  <c r="K23" i="26"/>
  <c r="G23" i="26"/>
  <c r="K22" i="26"/>
  <c r="G22" i="26"/>
  <c r="K21" i="26"/>
  <c r="G21" i="26"/>
  <c r="K20" i="26"/>
  <c r="G20" i="26"/>
  <c r="K19" i="26"/>
  <c r="G19" i="26"/>
  <c r="K18" i="26"/>
  <c r="G18" i="26"/>
  <c r="K17" i="26"/>
  <c r="G17" i="26"/>
  <c r="K16" i="26"/>
  <c r="G16" i="26"/>
  <c r="K15" i="26"/>
  <c r="G15" i="26"/>
  <c r="K14" i="26"/>
  <c r="G14" i="26"/>
  <c r="K13" i="26"/>
  <c r="G13" i="26"/>
  <c r="K12" i="26"/>
  <c r="G12" i="26"/>
  <c r="K11" i="26"/>
  <c r="G11" i="26"/>
  <c r="K10" i="26"/>
  <c r="G10" i="26"/>
  <c r="K9" i="26"/>
  <c r="G9" i="26"/>
  <c r="K8" i="26"/>
  <c r="G8" i="26"/>
  <c r="K7" i="26"/>
  <c r="G7" i="26"/>
  <c r="K6" i="26"/>
  <c r="G6" i="26"/>
  <c r="N26" i="25"/>
  <c r="J26" i="25"/>
  <c r="K26" i="25" s="1"/>
  <c r="I26" i="25"/>
  <c r="F26" i="25"/>
  <c r="J27" i="25" s="1"/>
  <c r="C29" i="1" s="1"/>
  <c r="E26" i="25"/>
  <c r="G26" i="25" s="1"/>
  <c r="L26" i="25" s="1"/>
  <c r="D29" i="1" s="1"/>
  <c r="K25" i="25"/>
  <c r="G25" i="25"/>
  <c r="K24" i="25"/>
  <c r="G24" i="25"/>
  <c r="K23" i="25"/>
  <c r="G23" i="25"/>
  <c r="K22" i="25"/>
  <c r="G22" i="25"/>
  <c r="K21" i="25"/>
  <c r="G21" i="25"/>
  <c r="K20" i="25"/>
  <c r="G20" i="25"/>
  <c r="K19" i="25"/>
  <c r="G19" i="25"/>
  <c r="K18" i="25"/>
  <c r="G18" i="25"/>
  <c r="K17" i="25"/>
  <c r="G17" i="25"/>
  <c r="K16" i="25"/>
  <c r="G16" i="25"/>
  <c r="K15" i="25"/>
  <c r="G15" i="25"/>
  <c r="K14" i="25"/>
  <c r="G14" i="25"/>
  <c r="K13" i="25"/>
  <c r="G13" i="25"/>
  <c r="K12" i="25"/>
  <c r="G12" i="25"/>
  <c r="K11" i="25"/>
  <c r="G11" i="25"/>
  <c r="K10" i="25"/>
  <c r="G10" i="25"/>
  <c r="K9" i="25"/>
  <c r="G9" i="25"/>
  <c r="K8" i="25"/>
  <c r="G8" i="25"/>
  <c r="K7" i="25"/>
  <c r="G7" i="25"/>
  <c r="K6" i="25"/>
  <c r="G6" i="25"/>
  <c r="J27" i="24"/>
  <c r="I27" i="24"/>
  <c r="B28" i="1" s="1"/>
  <c r="N26" i="24"/>
  <c r="J26" i="24"/>
  <c r="I26" i="24"/>
  <c r="K26" i="24" s="1"/>
  <c r="F26" i="24"/>
  <c r="E26" i="24"/>
  <c r="G26" i="24" s="1"/>
  <c r="L26" i="24" s="1"/>
  <c r="D28" i="1" s="1"/>
  <c r="K25" i="24"/>
  <c r="G25" i="24"/>
  <c r="K24" i="24"/>
  <c r="G24" i="24"/>
  <c r="K23" i="24"/>
  <c r="G23" i="24"/>
  <c r="K22" i="24"/>
  <c r="G22" i="24"/>
  <c r="K21" i="24"/>
  <c r="G21" i="24"/>
  <c r="K20" i="24"/>
  <c r="G20" i="24"/>
  <c r="K19" i="24"/>
  <c r="G19" i="24"/>
  <c r="K18" i="24"/>
  <c r="G18" i="24"/>
  <c r="K17" i="24"/>
  <c r="G17" i="24"/>
  <c r="K16" i="24"/>
  <c r="G16" i="24"/>
  <c r="K15" i="24"/>
  <c r="G15" i="24"/>
  <c r="K14" i="24"/>
  <c r="G14" i="24"/>
  <c r="K13" i="24"/>
  <c r="G13" i="24"/>
  <c r="K12" i="24"/>
  <c r="G12" i="24"/>
  <c r="K11" i="24"/>
  <c r="G11" i="24"/>
  <c r="K10" i="24"/>
  <c r="G10" i="24"/>
  <c r="K9" i="24"/>
  <c r="G9" i="24"/>
  <c r="K8" i="24"/>
  <c r="G8" i="24"/>
  <c r="K7" i="24"/>
  <c r="G7" i="24"/>
  <c r="K6" i="24"/>
  <c r="G6" i="24"/>
  <c r="I27" i="23"/>
  <c r="B27" i="1" s="1"/>
  <c r="N26" i="23"/>
  <c r="J26" i="23"/>
  <c r="I26" i="23"/>
  <c r="K26" i="23" s="1"/>
  <c r="F26" i="23"/>
  <c r="G26" i="23" s="1"/>
  <c r="L26" i="23" s="1"/>
  <c r="D27" i="1" s="1"/>
  <c r="E26" i="23"/>
  <c r="K25" i="23"/>
  <c r="G25" i="23"/>
  <c r="K24" i="23"/>
  <c r="G24" i="23"/>
  <c r="K23" i="23"/>
  <c r="G23" i="23"/>
  <c r="K22" i="23"/>
  <c r="G22" i="23"/>
  <c r="K21" i="23"/>
  <c r="G21" i="23"/>
  <c r="K20" i="23"/>
  <c r="G20" i="23"/>
  <c r="K19" i="23"/>
  <c r="G19" i="23"/>
  <c r="K18" i="23"/>
  <c r="G18" i="23"/>
  <c r="K17" i="23"/>
  <c r="G17" i="23"/>
  <c r="K16" i="23"/>
  <c r="G16" i="23"/>
  <c r="K15" i="23"/>
  <c r="G15" i="23"/>
  <c r="K14" i="23"/>
  <c r="G14" i="23"/>
  <c r="K13" i="23"/>
  <c r="G13" i="23"/>
  <c r="K12" i="23"/>
  <c r="G12" i="23"/>
  <c r="K11" i="23"/>
  <c r="G11" i="23"/>
  <c r="K10" i="23"/>
  <c r="G10" i="23"/>
  <c r="K9" i="23"/>
  <c r="G9" i="23"/>
  <c r="K8" i="23"/>
  <c r="G8" i="23"/>
  <c r="K7" i="23"/>
  <c r="G7" i="23"/>
  <c r="K6" i="23"/>
  <c r="G6" i="23"/>
  <c r="N26" i="22"/>
  <c r="J26" i="22"/>
  <c r="I26" i="22"/>
  <c r="K26" i="22" s="1"/>
  <c r="F26" i="22"/>
  <c r="J27" i="22" s="1"/>
  <c r="C26" i="1" s="1"/>
  <c r="E26" i="22"/>
  <c r="I27" i="22" s="1"/>
  <c r="B26" i="1" s="1"/>
  <c r="K25" i="22"/>
  <c r="G25" i="22"/>
  <c r="K24" i="22"/>
  <c r="G24" i="22"/>
  <c r="K23" i="22"/>
  <c r="G23" i="22"/>
  <c r="K22" i="22"/>
  <c r="G22" i="22"/>
  <c r="K21" i="22"/>
  <c r="G21" i="22"/>
  <c r="K20" i="22"/>
  <c r="G20" i="22"/>
  <c r="K19" i="22"/>
  <c r="G19" i="22"/>
  <c r="K18" i="22"/>
  <c r="G18" i="22"/>
  <c r="K17" i="22"/>
  <c r="G17" i="22"/>
  <c r="K16" i="22"/>
  <c r="G16" i="22"/>
  <c r="K15" i="22"/>
  <c r="G15" i="22"/>
  <c r="K14" i="22"/>
  <c r="G14" i="22"/>
  <c r="K13" i="22"/>
  <c r="G13" i="22"/>
  <c r="K12" i="22"/>
  <c r="G12" i="22"/>
  <c r="K11" i="22"/>
  <c r="G11" i="22"/>
  <c r="K10" i="22"/>
  <c r="G10" i="22"/>
  <c r="K9" i="22"/>
  <c r="G9" i="22"/>
  <c r="K8" i="22"/>
  <c r="G8" i="22"/>
  <c r="K7" i="22"/>
  <c r="G7" i="22"/>
  <c r="K6" i="22"/>
  <c r="G6" i="22"/>
  <c r="J27" i="21"/>
  <c r="N26" i="21"/>
  <c r="J26" i="21"/>
  <c r="I26" i="21"/>
  <c r="I27" i="21" s="1"/>
  <c r="B25" i="1" s="1"/>
  <c r="F26" i="21"/>
  <c r="G26" i="21" s="1"/>
  <c r="E26" i="21"/>
  <c r="K25" i="21"/>
  <c r="G25" i="21"/>
  <c r="K24" i="21"/>
  <c r="G24" i="21"/>
  <c r="K23" i="21"/>
  <c r="G23" i="21"/>
  <c r="K22" i="21"/>
  <c r="G22" i="21"/>
  <c r="K21" i="21"/>
  <c r="G21" i="21"/>
  <c r="K20" i="21"/>
  <c r="G20" i="21"/>
  <c r="K19" i="21"/>
  <c r="G19" i="21"/>
  <c r="K18" i="21"/>
  <c r="G18" i="21"/>
  <c r="K17" i="21"/>
  <c r="G17" i="21"/>
  <c r="K16" i="21"/>
  <c r="G16" i="21"/>
  <c r="K15" i="21"/>
  <c r="G15" i="21"/>
  <c r="K14" i="21"/>
  <c r="G14" i="21"/>
  <c r="K13" i="21"/>
  <c r="G13" i="21"/>
  <c r="K12" i="21"/>
  <c r="G12" i="21"/>
  <c r="K11" i="21"/>
  <c r="G11" i="21"/>
  <c r="K10" i="21"/>
  <c r="G10" i="21"/>
  <c r="K9" i="21"/>
  <c r="G9" i="21"/>
  <c r="K8" i="21"/>
  <c r="G8" i="21"/>
  <c r="K7" i="21"/>
  <c r="G7" i="21"/>
  <c r="K6" i="21"/>
  <c r="G6" i="21"/>
  <c r="N26" i="20"/>
  <c r="J26" i="20"/>
  <c r="I26" i="20"/>
  <c r="I27" i="20" s="1"/>
  <c r="B24" i="1" s="1"/>
  <c r="F26" i="20"/>
  <c r="G26" i="20" s="1"/>
  <c r="E26" i="20"/>
  <c r="K25" i="20"/>
  <c r="G25" i="20"/>
  <c r="K24" i="20"/>
  <c r="G24" i="20"/>
  <c r="K23" i="20"/>
  <c r="G23" i="20"/>
  <c r="K22" i="20"/>
  <c r="G22" i="20"/>
  <c r="K21" i="20"/>
  <c r="G21" i="20"/>
  <c r="K20" i="20"/>
  <c r="G20" i="20"/>
  <c r="K19" i="20"/>
  <c r="G19" i="20"/>
  <c r="K18" i="20"/>
  <c r="G18" i="20"/>
  <c r="K17" i="20"/>
  <c r="G17" i="20"/>
  <c r="K16" i="20"/>
  <c r="G16" i="20"/>
  <c r="K15" i="20"/>
  <c r="G15" i="20"/>
  <c r="K14" i="20"/>
  <c r="G14" i="20"/>
  <c r="K13" i="20"/>
  <c r="G13" i="20"/>
  <c r="K12" i="20"/>
  <c r="G12" i="20"/>
  <c r="K11" i="20"/>
  <c r="G11" i="20"/>
  <c r="K10" i="20"/>
  <c r="G10" i="20"/>
  <c r="K9" i="20"/>
  <c r="G9" i="20"/>
  <c r="K8" i="20"/>
  <c r="G8" i="20"/>
  <c r="K7" i="20"/>
  <c r="G7" i="20"/>
  <c r="K6" i="20"/>
  <c r="G6" i="20"/>
  <c r="N26" i="19"/>
  <c r="K26" i="19"/>
  <c r="J26" i="19"/>
  <c r="I26" i="19"/>
  <c r="F26" i="19"/>
  <c r="J27" i="19" s="1"/>
  <c r="C23" i="1" s="1"/>
  <c r="E26" i="19"/>
  <c r="I27" i="19" s="1"/>
  <c r="B23" i="1" s="1"/>
  <c r="K25" i="19"/>
  <c r="G25" i="19"/>
  <c r="K24" i="19"/>
  <c r="G24" i="19"/>
  <c r="K23" i="19"/>
  <c r="G23" i="19"/>
  <c r="K22" i="19"/>
  <c r="G22" i="19"/>
  <c r="K21" i="19"/>
  <c r="G21" i="19"/>
  <c r="K20" i="19"/>
  <c r="G20" i="19"/>
  <c r="K19" i="19"/>
  <c r="G19" i="19"/>
  <c r="K18" i="19"/>
  <c r="G18" i="19"/>
  <c r="K17" i="19"/>
  <c r="G17" i="19"/>
  <c r="K16" i="19"/>
  <c r="G16" i="19"/>
  <c r="K15" i="19"/>
  <c r="G15" i="19"/>
  <c r="K14" i="19"/>
  <c r="G14" i="19"/>
  <c r="K13" i="19"/>
  <c r="G13" i="19"/>
  <c r="K12" i="19"/>
  <c r="G12" i="19"/>
  <c r="K11" i="19"/>
  <c r="G11" i="19"/>
  <c r="K10" i="19"/>
  <c r="G10" i="19"/>
  <c r="K9" i="19"/>
  <c r="G9" i="19"/>
  <c r="K8" i="19"/>
  <c r="G8" i="19"/>
  <c r="K7" i="19"/>
  <c r="G7" i="19"/>
  <c r="K6" i="19"/>
  <c r="G6" i="19"/>
  <c r="N26" i="18"/>
  <c r="K26" i="18"/>
  <c r="J26" i="18"/>
  <c r="I26" i="18"/>
  <c r="F26" i="18"/>
  <c r="J27" i="18" s="1"/>
  <c r="C22" i="1" s="1"/>
  <c r="E26" i="18"/>
  <c r="G26" i="18" s="1"/>
  <c r="L26" i="18" s="1"/>
  <c r="D22" i="1" s="1"/>
  <c r="K25" i="18"/>
  <c r="G25" i="18"/>
  <c r="K24" i="18"/>
  <c r="G24" i="18"/>
  <c r="K23" i="18"/>
  <c r="G23" i="18"/>
  <c r="K22" i="18"/>
  <c r="G22" i="18"/>
  <c r="K21" i="18"/>
  <c r="G21" i="18"/>
  <c r="K20" i="18"/>
  <c r="G20" i="18"/>
  <c r="K19" i="18"/>
  <c r="G19" i="18"/>
  <c r="K18" i="18"/>
  <c r="G18" i="18"/>
  <c r="K17" i="18"/>
  <c r="G17" i="18"/>
  <c r="K16" i="18"/>
  <c r="G16" i="18"/>
  <c r="K15" i="18"/>
  <c r="G15" i="18"/>
  <c r="K14" i="18"/>
  <c r="G14" i="18"/>
  <c r="K13" i="18"/>
  <c r="G13" i="18"/>
  <c r="K12" i="18"/>
  <c r="G12" i="18"/>
  <c r="K11" i="18"/>
  <c r="G11" i="18"/>
  <c r="K10" i="18"/>
  <c r="G10" i="18"/>
  <c r="K9" i="18"/>
  <c r="G9" i="18"/>
  <c r="K8" i="18"/>
  <c r="G8" i="18"/>
  <c r="K7" i="18"/>
  <c r="G7" i="18"/>
  <c r="K6" i="18"/>
  <c r="G6" i="18"/>
  <c r="J27" i="17"/>
  <c r="C21" i="1" s="1"/>
  <c r="I27" i="17"/>
  <c r="B21" i="1" s="1"/>
  <c r="N26" i="17"/>
  <c r="J26" i="17"/>
  <c r="I26" i="17"/>
  <c r="K26" i="17" s="1"/>
  <c r="F26" i="17"/>
  <c r="E26" i="17"/>
  <c r="G26" i="17" s="1"/>
  <c r="L26" i="17" s="1"/>
  <c r="D21" i="1" s="1"/>
  <c r="K25" i="17"/>
  <c r="G25" i="17"/>
  <c r="K24" i="17"/>
  <c r="G24" i="17"/>
  <c r="K23" i="17"/>
  <c r="G23" i="17"/>
  <c r="K22" i="17"/>
  <c r="G22" i="17"/>
  <c r="K21" i="17"/>
  <c r="G21" i="17"/>
  <c r="K20" i="17"/>
  <c r="G20" i="17"/>
  <c r="K19" i="17"/>
  <c r="G19" i="17"/>
  <c r="K18" i="17"/>
  <c r="G18" i="17"/>
  <c r="K17" i="17"/>
  <c r="G17" i="17"/>
  <c r="K16" i="17"/>
  <c r="G16" i="17"/>
  <c r="K15" i="17"/>
  <c r="G15" i="17"/>
  <c r="K14" i="17"/>
  <c r="G14" i="17"/>
  <c r="K13" i="17"/>
  <c r="G13" i="17"/>
  <c r="K12" i="17"/>
  <c r="G12" i="17"/>
  <c r="K11" i="17"/>
  <c r="G11" i="17"/>
  <c r="K10" i="17"/>
  <c r="G10" i="17"/>
  <c r="K9" i="17"/>
  <c r="G9" i="17"/>
  <c r="K8" i="17"/>
  <c r="G8" i="17"/>
  <c r="K7" i="17"/>
  <c r="G7" i="17"/>
  <c r="K6" i="17"/>
  <c r="G6" i="17"/>
  <c r="N26" i="16"/>
  <c r="K26" i="16"/>
  <c r="J26" i="16"/>
  <c r="I26" i="16"/>
  <c r="F26" i="16"/>
  <c r="J27" i="16" s="1"/>
  <c r="C20" i="1" s="1"/>
  <c r="E26" i="16"/>
  <c r="G26" i="16" s="1"/>
  <c r="L26" i="16" s="1"/>
  <c r="D20" i="1" s="1"/>
  <c r="K25" i="16"/>
  <c r="G25" i="16"/>
  <c r="K24" i="16"/>
  <c r="G24" i="16"/>
  <c r="K23" i="16"/>
  <c r="G23" i="16"/>
  <c r="K22" i="16"/>
  <c r="G22" i="16"/>
  <c r="K21" i="16"/>
  <c r="G21" i="16"/>
  <c r="K20" i="16"/>
  <c r="G20" i="16"/>
  <c r="K19" i="16"/>
  <c r="G19" i="16"/>
  <c r="K18" i="16"/>
  <c r="G18" i="16"/>
  <c r="K17" i="16"/>
  <c r="G17" i="16"/>
  <c r="K16" i="16"/>
  <c r="G16" i="16"/>
  <c r="K15" i="16"/>
  <c r="G15" i="16"/>
  <c r="K14" i="16"/>
  <c r="G14" i="16"/>
  <c r="K13" i="16"/>
  <c r="G13" i="16"/>
  <c r="K12" i="16"/>
  <c r="G12" i="16"/>
  <c r="K11" i="16"/>
  <c r="G11" i="16"/>
  <c r="K10" i="16"/>
  <c r="G10" i="16"/>
  <c r="K9" i="16"/>
  <c r="G9" i="16"/>
  <c r="K8" i="16"/>
  <c r="G8" i="16"/>
  <c r="K7" i="16"/>
  <c r="G7" i="16"/>
  <c r="K6" i="16"/>
  <c r="G6" i="16"/>
  <c r="J27" i="15"/>
  <c r="C19" i="1" s="1"/>
  <c r="N26" i="15"/>
  <c r="J26" i="15"/>
  <c r="I26" i="15"/>
  <c r="K26" i="15" s="1"/>
  <c r="F26" i="15"/>
  <c r="E26" i="15"/>
  <c r="I27" i="15" s="1"/>
  <c r="B19" i="1" s="1"/>
  <c r="K25" i="15"/>
  <c r="G25" i="15"/>
  <c r="K24" i="15"/>
  <c r="G24" i="15"/>
  <c r="K23" i="15"/>
  <c r="G23" i="15"/>
  <c r="K22" i="15"/>
  <c r="G22" i="15"/>
  <c r="K21" i="15"/>
  <c r="G21" i="15"/>
  <c r="K20" i="15"/>
  <c r="G20" i="15"/>
  <c r="K19" i="15"/>
  <c r="G19" i="15"/>
  <c r="K18" i="15"/>
  <c r="G18" i="15"/>
  <c r="K17" i="15"/>
  <c r="G17" i="15"/>
  <c r="K16" i="15"/>
  <c r="G16" i="15"/>
  <c r="K15" i="15"/>
  <c r="G15" i="15"/>
  <c r="K14" i="15"/>
  <c r="G14" i="15"/>
  <c r="K13" i="15"/>
  <c r="G13" i="15"/>
  <c r="K12" i="15"/>
  <c r="G12" i="15"/>
  <c r="K11" i="15"/>
  <c r="G11" i="15"/>
  <c r="K10" i="15"/>
  <c r="G10" i="15"/>
  <c r="K9" i="15"/>
  <c r="G9" i="15"/>
  <c r="K8" i="15"/>
  <c r="G8" i="15"/>
  <c r="K7" i="15"/>
  <c r="G7" i="15"/>
  <c r="K6" i="15"/>
  <c r="G6" i="15"/>
  <c r="J27" i="14"/>
  <c r="C18" i="1" s="1"/>
  <c r="N26" i="14"/>
  <c r="L26" i="14"/>
  <c r="D18" i="1" s="1"/>
  <c r="K26" i="14"/>
  <c r="J26" i="14"/>
  <c r="I26" i="14"/>
  <c r="G26" i="14"/>
  <c r="F26" i="14"/>
  <c r="E26" i="14"/>
  <c r="I27" i="14" s="1"/>
  <c r="B18" i="1" s="1"/>
  <c r="K25" i="14"/>
  <c r="G25" i="14"/>
  <c r="K24" i="14"/>
  <c r="G24" i="14"/>
  <c r="K23" i="14"/>
  <c r="G23" i="14"/>
  <c r="K22" i="14"/>
  <c r="G22" i="14"/>
  <c r="K21" i="14"/>
  <c r="G21" i="14"/>
  <c r="K20" i="14"/>
  <c r="G20" i="14"/>
  <c r="K19" i="14"/>
  <c r="G19" i="14"/>
  <c r="K18" i="14"/>
  <c r="G18" i="14"/>
  <c r="K17" i="14"/>
  <c r="G17" i="14"/>
  <c r="K16" i="14"/>
  <c r="G16" i="14"/>
  <c r="K15" i="14"/>
  <c r="G15" i="14"/>
  <c r="K14" i="14"/>
  <c r="G14" i="14"/>
  <c r="K13" i="14"/>
  <c r="G13" i="14"/>
  <c r="K12" i="14"/>
  <c r="G12" i="14"/>
  <c r="K11" i="14"/>
  <c r="G11" i="14"/>
  <c r="K10" i="14"/>
  <c r="G10" i="14"/>
  <c r="K9" i="14"/>
  <c r="G9" i="14"/>
  <c r="K8" i="14"/>
  <c r="G8" i="14"/>
  <c r="K7" i="14"/>
  <c r="G7" i="14"/>
  <c r="K6" i="14"/>
  <c r="G6" i="14"/>
  <c r="J27" i="13"/>
  <c r="N26" i="13"/>
  <c r="J26" i="13"/>
  <c r="I26" i="13"/>
  <c r="I27" i="13" s="1"/>
  <c r="B17" i="1" s="1"/>
  <c r="G26" i="13"/>
  <c r="F26" i="13"/>
  <c r="E26" i="13"/>
  <c r="K25" i="13"/>
  <c r="G25" i="13"/>
  <c r="K24" i="13"/>
  <c r="G24" i="13"/>
  <c r="K23" i="13"/>
  <c r="G23" i="13"/>
  <c r="K22" i="13"/>
  <c r="G22" i="13"/>
  <c r="K21" i="13"/>
  <c r="G21" i="13"/>
  <c r="K20" i="13"/>
  <c r="G20" i="13"/>
  <c r="K19" i="13"/>
  <c r="G19" i="13"/>
  <c r="K18" i="13"/>
  <c r="G18" i="13"/>
  <c r="K17" i="13"/>
  <c r="G17" i="13"/>
  <c r="K16" i="13"/>
  <c r="G16" i="13"/>
  <c r="K15" i="13"/>
  <c r="G15" i="13"/>
  <c r="K14" i="13"/>
  <c r="G14" i="13"/>
  <c r="K13" i="13"/>
  <c r="G13" i="13"/>
  <c r="K12" i="13"/>
  <c r="G12" i="13"/>
  <c r="K11" i="13"/>
  <c r="G11" i="13"/>
  <c r="K10" i="13"/>
  <c r="G10" i="13"/>
  <c r="K9" i="13"/>
  <c r="G9" i="13"/>
  <c r="K8" i="13"/>
  <c r="G8" i="13"/>
  <c r="K7" i="13"/>
  <c r="G7" i="13"/>
  <c r="K6" i="13"/>
  <c r="G6" i="13"/>
  <c r="I27" i="12"/>
  <c r="N26" i="12"/>
  <c r="J26" i="12"/>
  <c r="K26" i="12" s="1"/>
  <c r="I26" i="12"/>
  <c r="F26" i="12"/>
  <c r="J27" i="12" s="1"/>
  <c r="C16" i="1" s="1"/>
  <c r="E26" i="12"/>
  <c r="G26" i="12" s="1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G11" i="12"/>
  <c r="K10" i="12"/>
  <c r="G10" i="12"/>
  <c r="K9" i="12"/>
  <c r="G9" i="12"/>
  <c r="K8" i="12"/>
  <c r="G8" i="12"/>
  <c r="K7" i="12"/>
  <c r="G7" i="12"/>
  <c r="K6" i="12"/>
  <c r="G6" i="12"/>
  <c r="N26" i="11"/>
  <c r="J26" i="11"/>
  <c r="K26" i="11" s="1"/>
  <c r="I26" i="11"/>
  <c r="F26" i="11"/>
  <c r="J27" i="11" s="1"/>
  <c r="C15" i="1" s="1"/>
  <c r="E26" i="11"/>
  <c r="G26" i="11" s="1"/>
  <c r="K25" i="11"/>
  <c r="G25" i="11"/>
  <c r="K24" i="11"/>
  <c r="G24" i="11"/>
  <c r="K23" i="11"/>
  <c r="G23" i="11"/>
  <c r="K22" i="11"/>
  <c r="G22" i="11"/>
  <c r="K21" i="11"/>
  <c r="G21" i="11"/>
  <c r="K20" i="11"/>
  <c r="G20" i="11"/>
  <c r="K19" i="11"/>
  <c r="G19" i="11"/>
  <c r="K18" i="11"/>
  <c r="G18" i="11"/>
  <c r="K17" i="11"/>
  <c r="G17" i="11"/>
  <c r="K16" i="11"/>
  <c r="G16" i="11"/>
  <c r="K15" i="11"/>
  <c r="G15" i="11"/>
  <c r="K14" i="11"/>
  <c r="G14" i="11"/>
  <c r="K13" i="11"/>
  <c r="G13" i="11"/>
  <c r="K12" i="11"/>
  <c r="G12" i="11"/>
  <c r="K11" i="11"/>
  <c r="G11" i="11"/>
  <c r="K10" i="11"/>
  <c r="G10" i="11"/>
  <c r="K9" i="11"/>
  <c r="G9" i="11"/>
  <c r="K8" i="11"/>
  <c r="G8" i="11"/>
  <c r="K7" i="11"/>
  <c r="G7" i="11"/>
  <c r="K6" i="11"/>
  <c r="G6" i="11"/>
  <c r="J27" i="10"/>
  <c r="C14" i="1" s="1"/>
  <c r="I27" i="10"/>
  <c r="B14" i="1" s="1"/>
  <c r="N26" i="10"/>
  <c r="J26" i="10"/>
  <c r="I26" i="10"/>
  <c r="K26" i="10" s="1"/>
  <c r="L26" i="10" s="1"/>
  <c r="D14" i="1" s="1"/>
  <c r="G26" i="10"/>
  <c r="F26" i="10"/>
  <c r="E26" i="10"/>
  <c r="K25" i="10"/>
  <c r="G25" i="10"/>
  <c r="K24" i="10"/>
  <c r="G24" i="10"/>
  <c r="K23" i="10"/>
  <c r="G23" i="10"/>
  <c r="K22" i="10"/>
  <c r="G22" i="10"/>
  <c r="K21" i="10"/>
  <c r="G21" i="10"/>
  <c r="K20" i="10"/>
  <c r="G20" i="10"/>
  <c r="K19" i="10"/>
  <c r="G19" i="10"/>
  <c r="K18" i="10"/>
  <c r="G18" i="10"/>
  <c r="K17" i="10"/>
  <c r="G17" i="10"/>
  <c r="K16" i="10"/>
  <c r="G16" i="10"/>
  <c r="K15" i="10"/>
  <c r="G15" i="10"/>
  <c r="K14" i="10"/>
  <c r="G14" i="10"/>
  <c r="K13" i="10"/>
  <c r="G13" i="10"/>
  <c r="K12" i="10"/>
  <c r="G12" i="10"/>
  <c r="K11" i="10"/>
  <c r="G11" i="10"/>
  <c r="K10" i="10"/>
  <c r="G10" i="10"/>
  <c r="K9" i="10"/>
  <c r="G9" i="10"/>
  <c r="K8" i="10"/>
  <c r="G8" i="10"/>
  <c r="K7" i="10"/>
  <c r="G7" i="10"/>
  <c r="K6" i="10"/>
  <c r="G6" i="10"/>
  <c r="N26" i="9"/>
  <c r="J26" i="9"/>
  <c r="I26" i="9"/>
  <c r="K26" i="9" s="1"/>
  <c r="F26" i="9"/>
  <c r="J27" i="9" s="1"/>
  <c r="C13" i="1" s="1"/>
  <c r="E26" i="9"/>
  <c r="G26" i="9" s="1"/>
  <c r="L26" i="9" s="1"/>
  <c r="D13" i="1" s="1"/>
  <c r="K25" i="9"/>
  <c r="G25" i="9"/>
  <c r="K24" i="9"/>
  <c r="G24" i="9"/>
  <c r="K23" i="9"/>
  <c r="G23" i="9"/>
  <c r="K22" i="9"/>
  <c r="G22" i="9"/>
  <c r="K21" i="9"/>
  <c r="G21" i="9"/>
  <c r="K20" i="9"/>
  <c r="G20" i="9"/>
  <c r="K19" i="9"/>
  <c r="G19" i="9"/>
  <c r="K18" i="9"/>
  <c r="G18" i="9"/>
  <c r="K17" i="9"/>
  <c r="G17" i="9"/>
  <c r="K16" i="9"/>
  <c r="G16" i="9"/>
  <c r="K15" i="9"/>
  <c r="G15" i="9"/>
  <c r="K14" i="9"/>
  <c r="G14" i="9"/>
  <c r="K13" i="9"/>
  <c r="G13" i="9"/>
  <c r="K12" i="9"/>
  <c r="G12" i="9"/>
  <c r="K11" i="9"/>
  <c r="G11" i="9"/>
  <c r="K10" i="9"/>
  <c r="G10" i="9"/>
  <c r="K9" i="9"/>
  <c r="G9" i="9"/>
  <c r="K8" i="9"/>
  <c r="G8" i="9"/>
  <c r="K7" i="9"/>
  <c r="G7" i="9"/>
  <c r="K6" i="9"/>
  <c r="G6" i="9"/>
  <c r="J27" i="8"/>
  <c r="C12" i="1" s="1"/>
  <c r="I27" i="8"/>
  <c r="B12" i="1" s="1"/>
  <c r="N26" i="8"/>
  <c r="J26" i="8"/>
  <c r="K26" i="8" s="1"/>
  <c r="I26" i="8"/>
  <c r="F26" i="8"/>
  <c r="E26" i="8"/>
  <c r="G26" i="8" s="1"/>
  <c r="L26" i="8" s="1"/>
  <c r="D12" i="1" s="1"/>
  <c r="K25" i="8"/>
  <c r="G25" i="8"/>
  <c r="K24" i="8"/>
  <c r="G24" i="8"/>
  <c r="K23" i="8"/>
  <c r="G23" i="8"/>
  <c r="K22" i="8"/>
  <c r="G22" i="8"/>
  <c r="K21" i="8"/>
  <c r="G21" i="8"/>
  <c r="K20" i="8"/>
  <c r="G20" i="8"/>
  <c r="K19" i="8"/>
  <c r="G19" i="8"/>
  <c r="K18" i="8"/>
  <c r="G18" i="8"/>
  <c r="K17" i="8"/>
  <c r="G17" i="8"/>
  <c r="K16" i="8"/>
  <c r="G16" i="8"/>
  <c r="K15" i="8"/>
  <c r="G15" i="8"/>
  <c r="K14" i="8"/>
  <c r="G14" i="8"/>
  <c r="K13" i="8"/>
  <c r="G13" i="8"/>
  <c r="K12" i="8"/>
  <c r="G12" i="8"/>
  <c r="K11" i="8"/>
  <c r="G11" i="8"/>
  <c r="K10" i="8"/>
  <c r="G10" i="8"/>
  <c r="K9" i="8"/>
  <c r="G9" i="8"/>
  <c r="K8" i="8"/>
  <c r="G8" i="8"/>
  <c r="K7" i="8"/>
  <c r="G7" i="8"/>
  <c r="K6" i="8"/>
  <c r="G6" i="8"/>
  <c r="I27" i="7"/>
  <c r="B11" i="1" s="1"/>
  <c r="N26" i="7"/>
  <c r="J26" i="7"/>
  <c r="I26" i="7"/>
  <c r="K26" i="7" s="1"/>
  <c r="F26" i="7"/>
  <c r="G26" i="7" s="1"/>
  <c r="E26" i="7"/>
  <c r="K25" i="7"/>
  <c r="G25" i="7"/>
  <c r="K24" i="7"/>
  <c r="G24" i="7"/>
  <c r="K23" i="7"/>
  <c r="G23" i="7"/>
  <c r="K22" i="7"/>
  <c r="G22" i="7"/>
  <c r="K21" i="7"/>
  <c r="G21" i="7"/>
  <c r="K20" i="7"/>
  <c r="G20" i="7"/>
  <c r="K19" i="7"/>
  <c r="G19" i="7"/>
  <c r="K18" i="7"/>
  <c r="G18" i="7"/>
  <c r="K17" i="7"/>
  <c r="G17" i="7"/>
  <c r="K16" i="7"/>
  <c r="G16" i="7"/>
  <c r="K15" i="7"/>
  <c r="G15" i="7"/>
  <c r="K14" i="7"/>
  <c r="G14" i="7"/>
  <c r="K13" i="7"/>
  <c r="G13" i="7"/>
  <c r="K12" i="7"/>
  <c r="G12" i="7"/>
  <c r="K11" i="7"/>
  <c r="G11" i="7"/>
  <c r="K10" i="7"/>
  <c r="G10" i="7"/>
  <c r="K9" i="7"/>
  <c r="G9" i="7"/>
  <c r="K8" i="7"/>
  <c r="G8" i="7"/>
  <c r="K7" i="7"/>
  <c r="G7" i="7"/>
  <c r="K6" i="7"/>
  <c r="G6" i="7"/>
  <c r="I27" i="6"/>
  <c r="N26" i="6"/>
  <c r="J26" i="6"/>
  <c r="I26" i="6"/>
  <c r="K26" i="6" s="1"/>
  <c r="F26" i="6"/>
  <c r="J27" i="6" s="1"/>
  <c r="C10" i="1" s="1"/>
  <c r="E26" i="6"/>
  <c r="K25" i="6"/>
  <c r="G25" i="6"/>
  <c r="K24" i="6"/>
  <c r="G24" i="6"/>
  <c r="K23" i="6"/>
  <c r="G23" i="6"/>
  <c r="K22" i="6"/>
  <c r="G22" i="6"/>
  <c r="K21" i="6"/>
  <c r="G21" i="6"/>
  <c r="K20" i="6"/>
  <c r="G20" i="6"/>
  <c r="K19" i="6"/>
  <c r="G19" i="6"/>
  <c r="K18" i="6"/>
  <c r="G18" i="6"/>
  <c r="K17" i="6"/>
  <c r="G17" i="6"/>
  <c r="K16" i="6"/>
  <c r="G16" i="6"/>
  <c r="K15" i="6"/>
  <c r="G15" i="6"/>
  <c r="K14" i="6"/>
  <c r="G14" i="6"/>
  <c r="K13" i="6"/>
  <c r="G13" i="6"/>
  <c r="K12" i="6"/>
  <c r="G12" i="6"/>
  <c r="K11" i="6"/>
  <c r="G11" i="6"/>
  <c r="K10" i="6"/>
  <c r="G10" i="6"/>
  <c r="K9" i="6"/>
  <c r="G9" i="6"/>
  <c r="K8" i="6"/>
  <c r="G8" i="6"/>
  <c r="K7" i="6"/>
  <c r="G7" i="6"/>
  <c r="K6" i="6"/>
  <c r="G6" i="6"/>
  <c r="N26" i="5"/>
  <c r="J26" i="5"/>
  <c r="I26" i="5"/>
  <c r="K26" i="5" s="1"/>
  <c r="F26" i="5"/>
  <c r="J27" i="5" s="1"/>
  <c r="C9" i="1" s="1"/>
  <c r="E26" i="5"/>
  <c r="I27" i="5" s="1"/>
  <c r="B9" i="1" s="1"/>
  <c r="K25" i="5"/>
  <c r="G25" i="5"/>
  <c r="K24" i="5"/>
  <c r="G24" i="5"/>
  <c r="K23" i="5"/>
  <c r="G23" i="5"/>
  <c r="K22" i="5"/>
  <c r="G22" i="5"/>
  <c r="K21" i="5"/>
  <c r="G21" i="5"/>
  <c r="K20" i="5"/>
  <c r="G20" i="5"/>
  <c r="K19" i="5"/>
  <c r="G19" i="5"/>
  <c r="K18" i="5"/>
  <c r="G18" i="5"/>
  <c r="K17" i="5"/>
  <c r="G17" i="5"/>
  <c r="K16" i="5"/>
  <c r="G16" i="5"/>
  <c r="K15" i="5"/>
  <c r="G15" i="5"/>
  <c r="K14" i="5"/>
  <c r="G14" i="5"/>
  <c r="K13" i="5"/>
  <c r="G13" i="5"/>
  <c r="K12" i="5"/>
  <c r="G12" i="5"/>
  <c r="K11" i="5"/>
  <c r="G11" i="5"/>
  <c r="K10" i="5"/>
  <c r="G10" i="5"/>
  <c r="K9" i="5"/>
  <c r="G9" i="5"/>
  <c r="K8" i="5"/>
  <c r="G8" i="5"/>
  <c r="K7" i="5"/>
  <c r="G7" i="5"/>
  <c r="K6" i="5"/>
  <c r="G6" i="5"/>
  <c r="N26" i="4"/>
  <c r="J26" i="4"/>
  <c r="J27" i="4" s="1"/>
  <c r="C8" i="1" s="1"/>
  <c r="I26" i="4"/>
  <c r="K26" i="4" s="1"/>
  <c r="F26" i="4"/>
  <c r="E26" i="4"/>
  <c r="G26" i="4" s="1"/>
  <c r="K25" i="4"/>
  <c r="G25" i="4"/>
  <c r="K24" i="4"/>
  <c r="G24" i="4"/>
  <c r="K23" i="4"/>
  <c r="G23" i="4"/>
  <c r="K22" i="4"/>
  <c r="G22" i="4"/>
  <c r="K21" i="4"/>
  <c r="G21" i="4"/>
  <c r="K20" i="4"/>
  <c r="G20" i="4"/>
  <c r="K19" i="4"/>
  <c r="G19" i="4"/>
  <c r="K18" i="4"/>
  <c r="G18" i="4"/>
  <c r="K17" i="4"/>
  <c r="G17" i="4"/>
  <c r="K16" i="4"/>
  <c r="G16" i="4"/>
  <c r="K15" i="4"/>
  <c r="G15" i="4"/>
  <c r="K14" i="4"/>
  <c r="G14" i="4"/>
  <c r="K13" i="4"/>
  <c r="G13" i="4"/>
  <c r="K12" i="4"/>
  <c r="G12" i="4"/>
  <c r="K11" i="4"/>
  <c r="G11" i="4"/>
  <c r="K10" i="4"/>
  <c r="G10" i="4"/>
  <c r="K9" i="4"/>
  <c r="G9" i="4"/>
  <c r="K8" i="4"/>
  <c r="G8" i="4"/>
  <c r="K7" i="4"/>
  <c r="G7" i="4"/>
  <c r="K6" i="4"/>
  <c r="G6" i="4"/>
  <c r="J27" i="3"/>
  <c r="C7" i="1" s="1"/>
  <c r="I27" i="3"/>
  <c r="B7" i="1" s="1"/>
  <c r="N26" i="3"/>
  <c r="K26" i="3"/>
  <c r="J26" i="3"/>
  <c r="I26" i="3"/>
  <c r="F26" i="3"/>
  <c r="G26" i="3" s="1"/>
  <c r="L26" i="3" s="1"/>
  <c r="D7" i="1" s="1"/>
  <c r="E26" i="3"/>
  <c r="K25" i="3"/>
  <c r="G25" i="3"/>
  <c r="K24" i="3"/>
  <c r="G24" i="3"/>
  <c r="K23" i="3"/>
  <c r="G23" i="3"/>
  <c r="K22" i="3"/>
  <c r="G22" i="3"/>
  <c r="K21" i="3"/>
  <c r="G21" i="3"/>
  <c r="K20" i="3"/>
  <c r="G20" i="3"/>
  <c r="K19" i="3"/>
  <c r="G19" i="3"/>
  <c r="K18" i="3"/>
  <c r="G18" i="3"/>
  <c r="K17" i="3"/>
  <c r="G17" i="3"/>
  <c r="K16" i="3"/>
  <c r="G16" i="3"/>
  <c r="K15" i="3"/>
  <c r="G15" i="3"/>
  <c r="K14" i="3"/>
  <c r="G14" i="3"/>
  <c r="K13" i="3"/>
  <c r="G13" i="3"/>
  <c r="K12" i="3"/>
  <c r="G12" i="3"/>
  <c r="K11" i="3"/>
  <c r="G11" i="3"/>
  <c r="K10" i="3"/>
  <c r="G10" i="3"/>
  <c r="K9" i="3"/>
  <c r="G9" i="3"/>
  <c r="K8" i="3"/>
  <c r="G8" i="3"/>
  <c r="K7" i="3"/>
  <c r="G7" i="3"/>
  <c r="K6" i="3"/>
  <c r="G6" i="3"/>
  <c r="O28" i="2"/>
  <c r="O28" i="3" s="1"/>
  <c r="O28" i="4" s="1"/>
  <c r="O28" i="5" s="1"/>
  <c r="O28" i="6" s="1"/>
  <c r="O28" i="7" s="1"/>
  <c r="O28" i="8" s="1"/>
  <c r="O28" i="9" s="1"/>
  <c r="O28" i="10" s="1"/>
  <c r="O28" i="11" s="1"/>
  <c r="O28" i="12" s="1"/>
  <c r="O28" i="13" s="1"/>
  <c r="O28" i="14" s="1"/>
  <c r="O28" i="15" s="1"/>
  <c r="O28" i="16" s="1"/>
  <c r="O28" i="17" s="1"/>
  <c r="O28" i="18" s="1"/>
  <c r="O28" i="19" s="1"/>
  <c r="O28" i="20" s="1"/>
  <c r="O28" i="21" s="1"/>
  <c r="O28" i="22" s="1"/>
  <c r="O28" i="23" s="1"/>
  <c r="O28" i="24" s="1"/>
  <c r="O28" i="25" s="1"/>
  <c r="O28" i="26" s="1"/>
  <c r="O28" i="27" s="1"/>
  <c r="O28" i="28" s="1"/>
  <c r="O28" i="29" s="1"/>
  <c r="O28" i="30" s="1"/>
  <c r="O28" i="31" s="1"/>
  <c r="N26" i="2"/>
  <c r="K26" i="2"/>
  <c r="J26" i="2"/>
  <c r="I26" i="2"/>
  <c r="F26" i="2"/>
  <c r="G26" i="2" s="1"/>
  <c r="L26" i="2" s="1"/>
  <c r="E26" i="2"/>
  <c r="I27" i="2" s="1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D38" i="1"/>
  <c r="E35" i="1"/>
  <c r="E34" i="1"/>
  <c r="B34" i="1"/>
  <c r="E33" i="1"/>
  <c r="E32" i="1"/>
  <c r="E31" i="1"/>
  <c r="E30" i="1"/>
  <c r="E29" i="1"/>
  <c r="N28" i="1"/>
  <c r="F37" i="1" s="1"/>
  <c r="E28" i="1"/>
  <c r="C28" i="1"/>
  <c r="E27" i="1"/>
  <c r="E26" i="1"/>
  <c r="E25" i="1"/>
  <c r="C25" i="1"/>
  <c r="E24" i="1"/>
  <c r="E23" i="1"/>
  <c r="E22" i="1"/>
  <c r="E21" i="1"/>
  <c r="E20" i="1"/>
  <c r="E19" i="1"/>
  <c r="E18" i="1"/>
  <c r="E17" i="1"/>
  <c r="C17" i="1"/>
  <c r="E16" i="1"/>
  <c r="B16" i="1"/>
  <c r="E15" i="1"/>
  <c r="E14" i="1"/>
  <c r="E13" i="1"/>
  <c r="E12" i="1"/>
  <c r="E11" i="1"/>
  <c r="E10" i="1"/>
  <c r="B10" i="1"/>
  <c r="E9" i="1"/>
  <c r="E8" i="1"/>
  <c r="E7" i="1"/>
  <c r="E6" i="1"/>
  <c r="E36" i="1" s="1"/>
  <c r="L28" i="2" l="1"/>
  <c r="L28" i="3" s="1"/>
  <c r="K28" i="2"/>
  <c r="D6" i="1"/>
  <c r="L26" i="11"/>
  <c r="D15" i="1" s="1"/>
  <c r="L26" i="7"/>
  <c r="D11" i="1" s="1"/>
  <c r="L26" i="20"/>
  <c r="D24" i="1" s="1"/>
  <c r="L26" i="12"/>
  <c r="D16" i="1" s="1"/>
  <c r="L26" i="4"/>
  <c r="D8" i="1" s="1"/>
  <c r="I28" i="2"/>
  <c r="B6" i="1"/>
  <c r="L26" i="29"/>
  <c r="D33" i="1" s="1"/>
  <c r="L26" i="21"/>
  <c r="D25" i="1" s="1"/>
  <c r="G26" i="6"/>
  <c r="L26" i="6" s="1"/>
  <c r="D10" i="1" s="1"/>
  <c r="I27" i="16"/>
  <c r="B20" i="1" s="1"/>
  <c r="J27" i="23"/>
  <c r="C27" i="1" s="1"/>
  <c r="I27" i="9"/>
  <c r="B13" i="1" s="1"/>
  <c r="G26" i="15"/>
  <c r="L26" i="15" s="1"/>
  <c r="D19" i="1" s="1"/>
  <c r="K26" i="20"/>
  <c r="I27" i="25"/>
  <c r="B29" i="1" s="1"/>
  <c r="G26" i="31"/>
  <c r="L26" i="31" s="1"/>
  <c r="D35" i="1" s="1"/>
  <c r="I27" i="18"/>
  <c r="B22" i="1" s="1"/>
  <c r="J27" i="7"/>
  <c r="C11" i="1" s="1"/>
  <c r="G26" i="22"/>
  <c r="L26" i="22" s="1"/>
  <c r="D26" i="1" s="1"/>
  <c r="K26" i="27"/>
  <c r="L26" i="27" s="1"/>
  <c r="D31" i="1" s="1"/>
  <c r="K26" i="13"/>
  <c r="L26" i="13" s="1"/>
  <c r="D17" i="1" s="1"/>
  <c r="J27" i="2"/>
  <c r="I27" i="11"/>
  <c r="B15" i="1" s="1"/>
  <c r="G26" i="19"/>
  <c r="L26" i="19" s="1"/>
  <c r="D23" i="1" s="1"/>
  <c r="J27" i="20"/>
  <c r="C24" i="1" s="1"/>
  <c r="G26" i="28"/>
  <c r="L26" i="28" s="1"/>
  <c r="D32" i="1" s="1"/>
  <c r="I27" i="4"/>
  <c r="B8" i="1" s="1"/>
  <c r="G26" i="5"/>
  <c r="L26" i="5" s="1"/>
  <c r="D9" i="1" s="1"/>
  <c r="K26" i="28"/>
  <c r="K26" i="21"/>
  <c r="B36" i="1" l="1"/>
  <c r="I28" i="3"/>
  <c r="I29" i="2"/>
  <c r="J28" i="2"/>
  <c r="J28" i="3" s="1"/>
  <c r="J28" i="4" s="1"/>
  <c r="J28" i="5" s="1"/>
  <c r="J28" i="6" s="1"/>
  <c r="J28" i="7" s="1"/>
  <c r="J28" i="8" s="1"/>
  <c r="J28" i="9" s="1"/>
  <c r="J28" i="10" s="1"/>
  <c r="J28" i="11" s="1"/>
  <c r="J28" i="12" s="1"/>
  <c r="J28" i="13" s="1"/>
  <c r="J28" i="14" s="1"/>
  <c r="J28" i="15" s="1"/>
  <c r="J28" i="16" s="1"/>
  <c r="J28" i="17" s="1"/>
  <c r="J28" i="18" s="1"/>
  <c r="J28" i="19" s="1"/>
  <c r="J28" i="20" s="1"/>
  <c r="J28" i="21" s="1"/>
  <c r="J28" i="22" s="1"/>
  <c r="J28" i="23" s="1"/>
  <c r="J28" i="24" s="1"/>
  <c r="J28" i="25" s="1"/>
  <c r="J28" i="26" s="1"/>
  <c r="J28" i="27" s="1"/>
  <c r="J28" i="28" s="1"/>
  <c r="J28" i="29" s="1"/>
  <c r="J28" i="30" s="1"/>
  <c r="J28" i="31" s="1"/>
  <c r="C6" i="1"/>
  <c r="C36" i="1" s="1"/>
  <c r="C38" i="1" s="1"/>
  <c r="D36" i="1"/>
  <c r="L27" i="2"/>
  <c r="K28" i="3"/>
  <c r="L28" i="4"/>
  <c r="L28" i="5" s="1"/>
  <c r="L28" i="6" s="1"/>
  <c r="L28" i="7" s="1"/>
  <c r="L28" i="8" s="1"/>
  <c r="L28" i="9" s="1"/>
  <c r="L28" i="10" s="1"/>
  <c r="L28" i="11" s="1"/>
  <c r="L28" i="12" s="1"/>
  <c r="L28" i="13" s="1"/>
  <c r="L28" i="14" s="1"/>
  <c r="L28" i="15" s="1"/>
  <c r="L28" i="16" s="1"/>
  <c r="L28" i="17" s="1"/>
  <c r="L28" i="18" s="1"/>
  <c r="L28" i="19" s="1"/>
  <c r="L28" i="20" s="1"/>
  <c r="L28" i="21" s="1"/>
  <c r="L28" i="22" s="1"/>
  <c r="L28" i="23" s="1"/>
  <c r="L28" i="24" s="1"/>
  <c r="L28" i="25" s="1"/>
  <c r="L28" i="26" s="1"/>
  <c r="L28" i="27" s="1"/>
  <c r="L28" i="28" s="1"/>
  <c r="L28" i="29" s="1"/>
  <c r="L28" i="30" s="1"/>
  <c r="L28" i="31" s="1"/>
  <c r="L27" i="3" l="1"/>
  <c r="K28" i="4"/>
  <c r="I28" i="4"/>
  <c r="I29" i="3"/>
  <c r="B38" i="1"/>
  <c r="L27" i="4" l="1"/>
  <c r="K28" i="5"/>
  <c r="I29" i="4"/>
  <c r="I28" i="5"/>
  <c r="I28" i="6" l="1"/>
  <c r="I29" i="5"/>
  <c r="K28" i="6"/>
  <c r="L27" i="5"/>
  <c r="L27" i="6" l="1"/>
  <c r="K28" i="7"/>
  <c r="I29" i="6"/>
  <c r="I28" i="7"/>
  <c r="I28" i="8" l="1"/>
  <c r="I29" i="7"/>
  <c r="K28" i="8"/>
  <c r="L27" i="7"/>
  <c r="L27" i="8" l="1"/>
  <c r="K28" i="9"/>
  <c r="I28" i="9"/>
  <c r="I29" i="8"/>
  <c r="I28" i="10" l="1"/>
  <c r="I29" i="9"/>
  <c r="L27" i="9"/>
  <c r="K28" i="10"/>
  <c r="L27" i="10" l="1"/>
  <c r="K28" i="11"/>
  <c r="I28" i="11"/>
  <c r="I29" i="10"/>
  <c r="L27" i="11" l="1"/>
  <c r="K28" i="12"/>
  <c r="I29" i="11"/>
  <c r="I28" i="12"/>
  <c r="I29" i="12" l="1"/>
  <c r="I28" i="13"/>
  <c r="L27" i="12"/>
  <c r="K28" i="13"/>
  <c r="L27" i="13" l="1"/>
  <c r="K28" i="14"/>
  <c r="I29" i="13"/>
  <c r="I28" i="14"/>
  <c r="I28" i="15" l="1"/>
  <c r="I29" i="14"/>
  <c r="K28" i="15"/>
  <c r="L27" i="14"/>
  <c r="L27" i="15" l="1"/>
  <c r="K28" i="16"/>
  <c r="I28" i="16"/>
  <c r="I29" i="15"/>
  <c r="I29" i="16" l="1"/>
  <c r="I28" i="17"/>
  <c r="K28" i="17"/>
  <c r="L27" i="16"/>
  <c r="L27" i="17" l="1"/>
  <c r="K28" i="18"/>
  <c r="I28" i="18"/>
  <c r="I29" i="17"/>
  <c r="I28" i="19" l="1"/>
  <c r="I29" i="18"/>
  <c r="L27" i="18"/>
  <c r="K28" i="19"/>
  <c r="L27" i="19" l="1"/>
  <c r="K28" i="20"/>
  <c r="I28" i="20"/>
  <c r="I29" i="19"/>
  <c r="I29" i="20" l="1"/>
  <c r="I28" i="21"/>
  <c r="L27" i="20"/>
  <c r="K28" i="21"/>
  <c r="K28" i="22" l="1"/>
  <c r="L27" i="21"/>
  <c r="I28" i="22"/>
  <c r="I29" i="21"/>
  <c r="I29" i="22" l="1"/>
  <c r="I28" i="23"/>
  <c r="K28" i="23"/>
  <c r="L27" i="22"/>
  <c r="K28" i="24" l="1"/>
  <c r="L27" i="23"/>
  <c r="I28" i="24"/>
  <c r="I29" i="23"/>
  <c r="I28" i="25" l="1"/>
  <c r="I29" i="24"/>
  <c r="L27" i="24"/>
  <c r="K28" i="25"/>
  <c r="L27" i="25" l="1"/>
  <c r="K28" i="26"/>
  <c r="I28" i="26"/>
  <c r="I29" i="25"/>
  <c r="L27" i="26" l="1"/>
  <c r="K28" i="27"/>
  <c r="I28" i="27"/>
  <c r="I29" i="26"/>
  <c r="I29" i="27" l="1"/>
  <c r="I28" i="28"/>
  <c r="L27" i="27"/>
  <c r="K28" i="28"/>
  <c r="L27" i="28" l="1"/>
  <c r="K28" i="29"/>
  <c r="I28" i="29"/>
  <c r="I29" i="28"/>
  <c r="L27" i="29" l="1"/>
  <c r="K28" i="30"/>
  <c r="I29" i="29"/>
  <c r="I28" i="30"/>
  <c r="I28" i="31" l="1"/>
  <c r="I29" i="30"/>
  <c r="K28" i="31"/>
  <c r="L27" i="31" s="1"/>
  <c r="L27" i="30"/>
  <c r="I29" i="31" l="1"/>
</calcChain>
</file>

<file path=xl/sharedStrings.xml><?xml version="1.0" encoding="utf-8"?>
<sst xmlns="http://schemas.openxmlformats.org/spreadsheetml/2006/main" count="468" uniqueCount="88">
  <si>
    <t>📊 2026년 6월 매출 종합 대시보드</t>
  </si>
  <si>
    <t>날짜</t>
  </si>
  <si>
    <t>카드 매출 (KRW)</t>
  </si>
  <si>
    <t>현금 매출 (KRW)</t>
  </si>
  <si>
    <t>일일 총 합계 (KRW)</t>
  </si>
  <si>
    <t>고객수</t>
  </si>
  <si>
    <t>6월 1일</t>
  </si>
  <si>
    <t>6월 2일</t>
  </si>
  <si>
    <t>6월 3일</t>
  </si>
  <si>
    <t>6월 4일</t>
  </si>
  <si>
    <t>6월 5일</t>
  </si>
  <si>
    <t>6월 6일</t>
  </si>
  <si>
    <t>6월 7일</t>
  </si>
  <si>
    <t>6월 8일</t>
  </si>
  <si>
    <t>6월 9일</t>
  </si>
  <si>
    <t>6월 10일</t>
  </si>
  <si>
    <t>6월 11일</t>
  </si>
  <si>
    <t>6월 12일</t>
  </si>
  <si>
    <t>6월 13일</t>
  </si>
  <si>
    <t>6월 14일</t>
  </si>
  <si>
    <t>6월 15일</t>
  </si>
  <si>
    <t>6월 16일</t>
  </si>
  <si>
    <t>6월 17일</t>
  </si>
  <si>
    <t>6월 18일</t>
  </si>
  <si>
    <t>6월 19일</t>
  </si>
  <si>
    <t>6월 20일</t>
  </si>
  <si>
    <t>6월 21일</t>
  </si>
  <si>
    <t>6월 22일</t>
  </si>
  <si>
    <t>입대료</t>
  </si>
  <si>
    <t>전기세</t>
  </si>
  <si>
    <t>전화</t>
  </si>
  <si>
    <t>정수기</t>
  </si>
  <si>
    <t>택배비</t>
  </si>
  <si>
    <t>물건값</t>
  </si>
  <si>
    <t>기타(식대)</t>
  </si>
  <si>
    <t>비고</t>
  </si>
  <si>
    <t>합계</t>
  </si>
  <si>
    <t>6월 23일</t>
  </si>
  <si>
    <t>6월 24일</t>
  </si>
  <si>
    <t>6월 25일</t>
  </si>
  <si>
    <t>6월 26일</t>
  </si>
  <si>
    <t>6월 27일</t>
  </si>
  <si>
    <t>6월 28일</t>
  </si>
  <si>
    <t>6월 29일</t>
  </si>
  <si>
    <t>6월 30일</t>
  </si>
  <si>
    <t>월 총 합계</t>
  </si>
  <si>
    <t>카드</t>
  </si>
  <si>
    <t>현금</t>
  </si>
  <si>
    <t>(06월)  일    일     매     출     일     지</t>
  </si>
  <si>
    <t>2026-06-01(월)</t>
  </si>
  <si>
    <t>No</t>
  </si>
  <si>
    <t>품          명</t>
  </si>
  <si>
    <t>카  드</t>
  </si>
  <si>
    <t>현  금</t>
  </si>
  <si>
    <t>합  계</t>
  </si>
  <si>
    <t>품   명</t>
  </si>
  <si>
    <t>일 합 계</t>
  </si>
  <si>
    <t>마  진</t>
  </si>
  <si>
    <t>합   계</t>
  </si>
  <si>
    <t>2026-06-02(화)</t>
  </si>
  <si>
    <t>2026-06-03(수)</t>
  </si>
  <si>
    <t>2026-06-04(목)</t>
  </si>
  <si>
    <t>2026-06-05(금)</t>
  </si>
  <si>
    <t>2026-06-06(토)</t>
  </si>
  <si>
    <t>2026-06-07(일)</t>
  </si>
  <si>
    <t>2026-06-08(월)</t>
  </si>
  <si>
    <t>2026-06-09(화)</t>
  </si>
  <si>
    <t>2026-06-10(수)</t>
  </si>
  <si>
    <t>2026-06-11(목)</t>
  </si>
  <si>
    <t>2026-06-12(금)</t>
  </si>
  <si>
    <t>2026-06-13(토)</t>
  </si>
  <si>
    <t>2026-06-14(일)</t>
  </si>
  <si>
    <t>2026-06-15(월)</t>
  </si>
  <si>
    <t>2026-06-16(화)</t>
  </si>
  <si>
    <t>2026-06-17(수)</t>
  </si>
  <si>
    <t>2026-06-18(목)</t>
  </si>
  <si>
    <t>2026-06-19(금)</t>
  </si>
  <si>
    <t>2026-06-20(토)</t>
  </si>
  <si>
    <t>2026-06-21(일)</t>
  </si>
  <si>
    <t>2026-06-22(월)</t>
  </si>
  <si>
    <t>2026-06-23(화)</t>
  </si>
  <si>
    <t>2026-06-24(수)</t>
  </si>
  <si>
    <t>2026-06-25(목)</t>
  </si>
  <si>
    <t>2026-06-26(금)</t>
  </si>
  <si>
    <t>2026-06-27(토)</t>
  </si>
  <si>
    <t>2026-06-28(일)</t>
  </si>
  <si>
    <t>2026-06-29(월)</t>
  </si>
  <si>
    <t>2026-06-30(화)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</si>
</sst>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0%"/>
    <numFmt numFmtId="178" formatCode="#,##0;\-#,##0;;"/>
    <numFmt numFmtId="179" formatCode="#,##0_ "/>
    <numFmt numFmtId="180" formatCode="#,##0.0_ "/>
  </numFmts>
  <fonts count="24" x14ac:knownFonts="1">
    <font>
      <sz val="11"/>
      <color theme="1"/>
      <name val="맑은 고딕"/>
      <family val="2"/>
      <scheme val="minor"/>
    </font>
    <font>
      <b/>
      <sz val="18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메이플스토리"/>
      <family val="3"/>
      <charset val="129"/>
    </font>
    <font>
      <sz val="11"/>
      <color theme="1"/>
      <name val="메이플스토리"/>
      <family val="3"/>
      <charset val="129"/>
    </font>
    <font>
      <b/>
      <sz val="10"/>
      <color rgb="FF000000"/>
      <name val="메이플스토리"/>
      <family val="3"/>
      <charset val="129"/>
    </font>
    <font>
      <sz val="11"/>
      <color rgb="FF000000"/>
      <name val="메이플스토리"/>
      <family val="3"/>
      <charset val="129"/>
    </font>
    <font>
      <sz val="11"/>
      <color rgb="FFFF0000"/>
      <name val="메이플스토리"/>
      <family val="3"/>
      <charset val="129"/>
    </font>
    <font>
      <sz val="11"/>
      <color rgb="FF0000FF"/>
      <name val="메이플스토리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color theme="3" tint="0.39997558519241921"/>
      <name val="메이플스토리"/>
      <family val="3"/>
      <charset val="129"/>
    </font>
    <font>
      <b/>
      <sz val="11"/>
      <color theme="1"/>
      <name val="메이플스토리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46C0A"/>
        <bgColor rgb="FFE46C0A"/>
      </patternFill>
    </fill>
    <fill>
      <patternFill patternType="solid">
        <fgColor rgb="FFFDE9D9"/>
        <bgColor rgb="FFFDE9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rgb="FFE46C0A"/>
      </left>
      <right style="thin">
        <color rgb="FFD9D9D9"/>
      </right>
      <top style="medium">
        <color rgb="FFE46C0A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E46C0A"/>
      </top>
      <bottom style="thin">
        <color rgb="FFD9D9D9"/>
      </bottom>
      <diagonal/>
    </border>
    <border>
      <left style="medium">
        <color rgb="FFE46C0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E46C0A"/>
      </right>
      <top style="thin">
        <color rgb="FFD9D9D9"/>
      </top>
      <bottom style="thin">
        <color rgb="FFD9D9D9"/>
      </bottom>
      <diagonal/>
    </border>
    <border>
      <left style="medium">
        <color rgb="FFE46C0A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medium">
        <color rgb="FFE46C0A"/>
      </right>
      <top style="thin">
        <color rgb="FF000000"/>
      </top>
      <bottom style="double">
        <color rgb="FF000000"/>
      </bottom>
      <diagonal/>
    </border>
    <border>
      <left style="medium">
        <color rgb="FFE46C0A"/>
      </left>
      <right style="thin">
        <color rgb="FFD9D9D9"/>
      </right>
      <top style="thin">
        <color rgb="FFD9D9D9"/>
      </top>
      <bottom style="medium">
        <color rgb="FFE46C0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E46C0A"/>
      </bottom>
      <diagonal/>
    </border>
    <border>
      <left style="thin">
        <color rgb="FFD9D9D9"/>
      </left>
      <right style="medium">
        <color rgb="FFE46C0A"/>
      </right>
      <top style="thin">
        <color rgb="FFD9D9D9"/>
      </top>
      <bottom style="medium">
        <color rgb="FFE46C0A"/>
      </bottom>
      <diagonal/>
    </border>
    <border>
      <left style="thin">
        <color rgb="FFD9D9D9"/>
      </left>
      <right style="thin">
        <color rgb="FFD9D9D9"/>
      </right>
      <top style="medium">
        <color rgb="FFE46C0A"/>
      </top>
      <bottom style="medium">
        <color rgb="FFE46C0A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rgb="FFE46C0A"/>
      </top>
      <bottom style="thin">
        <color rgb="FFD9D9D9"/>
      </bottom>
      <diagonal/>
    </border>
    <border>
      <left/>
      <right/>
      <top style="medium">
        <color rgb="FFE46C0A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D9D9D9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0" fillId="3" borderId="7" xfId="0" applyFill="1" applyBorder="1" applyAlignment="1">
      <alignment horizontal="center" vertical="center"/>
    </xf>
    <xf numFmtId="3" fontId="7" fillId="3" borderId="7" xfId="0" applyNumberFormat="1" applyFont="1" applyFill="1" applyBorder="1" applyAlignment="1">
      <alignment horizontal="right" vertical="center"/>
    </xf>
    <xf numFmtId="3" fontId="8" fillId="3" borderId="7" xfId="0" applyNumberFormat="1" applyFont="1" applyFill="1" applyBorder="1" applyAlignment="1">
      <alignment horizontal="right" vertical="center"/>
    </xf>
    <xf numFmtId="3" fontId="3" fillId="3" borderId="7" xfId="0" applyNumberFormat="1" applyFont="1" applyFill="1" applyBorder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right" vertical="center"/>
    </xf>
    <xf numFmtId="3" fontId="8" fillId="0" borderId="7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3" fontId="7" fillId="0" borderId="4" xfId="0" applyNumberFormat="1" applyFont="1" applyBorder="1" applyAlignment="1">
      <alignment horizontal="right" vertical="center"/>
    </xf>
    <xf numFmtId="3" fontId="8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177" fontId="7" fillId="0" borderId="10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8" fontId="18" fillId="0" borderId="4" xfId="0" applyNumberFormat="1" applyFont="1" applyBorder="1" applyAlignment="1">
      <alignment horizontal="right" vertical="center"/>
    </xf>
    <xf numFmtId="178" fontId="19" fillId="0" borderId="4" xfId="0" applyNumberFormat="1" applyFont="1" applyBorder="1" applyAlignment="1">
      <alignment horizontal="right" vertical="center"/>
    </xf>
    <xf numFmtId="178" fontId="17" fillId="0" borderId="4" xfId="0" applyNumberFormat="1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177" fontId="0" fillId="0" borderId="0" xfId="0" applyNumberFormat="1"/>
    <xf numFmtId="0" fontId="21" fillId="6" borderId="0" xfId="0" applyFont="1" applyFill="1" applyAlignment="1">
      <alignment horizontal="center"/>
    </xf>
    <xf numFmtId="179" fontId="0" fillId="0" borderId="0" xfId="0" applyNumberFormat="1"/>
    <xf numFmtId="3" fontId="22" fillId="7" borderId="0" xfId="0" applyNumberFormat="1" applyFont="1" applyFill="1" applyAlignment="1">
      <alignment horizontal="center" vertical="center"/>
    </xf>
    <xf numFmtId="177" fontId="15" fillId="8" borderId="0" xfId="0" applyNumberFormat="1" applyFont="1" applyFill="1"/>
    <xf numFmtId="177" fontId="20" fillId="8" borderId="0" xfId="0" applyNumberFormat="1" applyFont="1" applyFill="1"/>
    <xf numFmtId="180" fontId="0" fillId="8" borderId="0" xfId="0" applyNumberFormat="1" applyFill="1"/>
    <xf numFmtId="179" fontId="23" fillId="0" borderId="0" xfId="0" applyNumberFormat="1" applyFont="1"/>
    <xf numFmtId="0" fontId="23" fillId="0" borderId="0" xfId="0" applyFont="1"/>
    <xf numFmtId="3" fontId="3" fillId="2" borderId="12" xfId="0" applyNumberFormat="1" applyFont="1" applyFill="1" applyBorder="1" applyAlignment="1">
      <alignment horizontal="center" vertical="center"/>
    </xf>
    <xf numFmtId="0" fontId="9" fillId="0" borderId="0" xfId="0" applyFont="1"/>
    <xf numFmtId="0" fontId="0" fillId="0" borderId="0" xfId="0"/>
    <xf numFmtId="0" fontId="17" fillId="0" borderId="4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178" fontId="17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14" fillId="4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0" borderId="7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" fillId="0" borderId="0" xfId="0" applyFont="1" applyAlignment="1">
      <alignment horizontal="center" vertical="center"/>
    </xf>
    <xf numFmtId="0" fontId="1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9"/>
  <sheetViews>
    <sheetView tabSelected="1" workbookViewId="0">
      <selection activeCell="H5" sqref="H5"/>
    </sheetView>
  </sheetViews>
  <sheetFormatPr defaultRowHeight="17" x14ac:dyDescent="0.45"/>
  <cols>
    <col min="1" max="1" width="15" customWidth="1"/>
    <col min="2" max="3" width="14.33203125" bestFit="1" customWidth="1"/>
    <col min="4" max="4" width="16.75" bestFit="1" customWidth="1"/>
    <col min="5" max="5" width="7.08203125" customWidth="1"/>
    <col min="6" max="6" width="10.6640625" bestFit="1" customWidth="1"/>
    <col min="7" max="7" width="9.6640625" bestFit="1" customWidth="1"/>
    <col min="8" max="10" width="8.75" bestFit="1" customWidth="1"/>
    <col min="11" max="11" width="13.5" customWidth="1"/>
    <col min="12" max="12" width="9.6640625" bestFit="1" customWidth="1"/>
    <col min="13" max="13" width="11.58203125" customWidth="1"/>
    <col min="14" max="14" width="10.6640625" bestFit="1" customWidth="1"/>
    <col min="15" max="15" width="9.6640625" bestFit="1" customWidth="1"/>
  </cols>
  <sheetData>
    <row r="2" spans="1:5" ht="35" customHeight="1" x14ac:dyDescent="0.7">
      <c r="A2" s="58" t="s">
        <v>0</v>
      </c>
      <c r="B2" s="59"/>
      <c r="C2" s="59"/>
      <c r="D2" s="59"/>
    </row>
    <row r="5" spans="1:5" ht="25" customHeight="1" x14ac:dyDescent="0.45">
      <c r="A5" s="1" t="s">
        <v>1</v>
      </c>
      <c r="B5" s="1" t="s">
        <v>2</v>
      </c>
      <c r="C5" s="1" t="s">
        <v>3</v>
      </c>
      <c r="D5" s="1" t="s">
        <v>4</v>
      </c>
      <c r="E5" s="57" t="s">
        <v>5</v>
      </c>
    </row>
    <row r="6" spans="1:5" x14ac:dyDescent="0.45">
      <c r="A6" s="2" t="s">
        <v>6</v>
      </c>
      <c r="B6" s="3">
        <f>'6월1일'!I27</f>
        <v>0</v>
      </c>
      <c r="C6" s="4">
        <f>'6월1일'!J27</f>
        <v>0</v>
      </c>
      <c r="D6" s="5">
        <f>'6월1일'!L26</f>
        <v>0</v>
      </c>
      <c r="E6" s="5">
        <f>COUNTA('6월1일'!B6:B25)+COUNTA('6월1일'!H6:H25)</f>
        <v>0</v>
      </c>
    </row>
    <row r="7" spans="1:5" x14ac:dyDescent="0.45">
      <c r="A7" s="2" t="s">
        <v>7</v>
      </c>
      <c r="B7" s="3">
        <f>'6월2일'!I27</f>
        <v>0</v>
      </c>
      <c r="C7" s="4">
        <f>'6월2일'!J27</f>
        <v>0</v>
      </c>
      <c r="D7" s="5">
        <f>'6월2일'!L26</f>
        <v>0</v>
      </c>
      <c r="E7" s="5">
        <f>COUNTA('6월2일'!B6:B25)+COUNTA('6월2일'!H6:H25)</f>
        <v>0</v>
      </c>
    </row>
    <row r="8" spans="1:5" x14ac:dyDescent="0.45">
      <c r="A8" s="2" t="s">
        <v>8</v>
      </c>
      <c r="B8" s="3">
        <f>'6월3일'!I27</f>
        <v>0</v>
      </c>
      <c r="C8" s="4">
        <f>'6월3일'!J27</f>
        <v>0</v>
      </c>
      <c r="D8" s="5">
        <f>'6월3일'!L26</f>
        <v>0</v>
      </c>
      <c r="E8" s="5">
        <f>COUNTA('6월3일'!B6:B25)+COUNTA('6월3일'!H6:H25)</f>
        <v>0</v>
      </c>
    </row>
    <row r="9" spans="1:5" x14ac:dyDescent="0.45">
      <c r="A9" s="2" t="s">
        <v>9</v>
      </c>
      <c r="B9" s="3">
        <f>'6월4일'!I27</f>
        <v>0</v>
      </c>
      <c r="C9" s="4">
        <f>'6월4일'!J27</f>
        <v>0</v>
      </c>
      <c r="D9" s="5">
        <f>'6월4일'!L26</f>
        <v>0</v>
      </c>
      <c r="E9" s="5">
        <f>COUNTA('6월4일'!B6:B25)+COUNTA('6월4일'!H6:H25)</f>
        <v>0</v>
      </c>
    </row>
    <row r="10" spans="1:5" x14ac:dyDescent="0.45">
      <c r="A10" s="2" t="s">
        <v>10</v>
      </c>
      <c r="B10" s="3">
        <f>'6월5일'!I27</f>
        <v>0</v>
      </c>
      <c r="C10" s="4">
        <f>'6월5일'!J27</f>
        <v>0</v>
      </c>
      <c r="D10" s="5">
        <f>'6월5일'!L26</f>
        <v>0</v>
      </c>
      <c r="E10" s="5">
        <f>COUNTA('6월5일'!B6:B25)+COUNTA('6월5일'!H6:H25)</f>
        <v>0</v>
      </c>
    </row>
    <row r="11" spans="1:5" x14ac:dyDescent="0.45">
      <c r="A11" s="2" t="s">
        <v>11</v>
      </c>
      <c r="B11" s="3">
        <f>'6월6일'!I27</f>
        <v>0</v>
      </c>
      <c r="C11" s="4">
        <f>'6월6일'!J27</f>
        <v>0</v>
      </c>
      <c r="D11" s="5">
        <f>'6월6일'!L26</f>
        <v>0</v>
      </c>
      <c r="E11" s="5">
        <f>COUNTA('6월6일'!B6:B25)+COUNTA('6월6일'!H6:H25)</f>
        <v>0</v>
      </c>
    </row>
    <row r="12" spans="1:5" x14ac:dyDescent="0.45">
      <c r="A12" s="2" t="s">
        <v>12</v>
      </c>
      <c r="B12" s="3">
        <f>'6월7일'!I27</f>
        <v>0</v>
      </c>
      <c r="C12" s="4">
        <f>'6월7일'!J27</f>
        <v>0</v>
      </c>
      <c r="D12" s="5">
        <f>'6월7일'!L26</f>
        <v>0</v>
      </c>
      <c r="E12" s="5">
        <f>COUNTA('6월7일'!B6:B25)+COUNTA('6월7일'!H6:H25)</f>
        <v>0</v>
      </c>
    </row>
    <row r="13" spans="1:5" x14ac:dyDescent="0.45">
      <c r="A13" s="2" t="s">
        <v>13</v>
      </c>
      <c r="B13" s="3">
        <f>'6월8일'!I27</f>
        <v>0</v>
      </c>
      <c r="C13" s="4">
        <f>'6월8일'!J27</f>
        <v>0</v>
      </c>
      <c r="D13" s="5">
        <f>'6월8일'!L26</f>
        <v>0</v>
      </c>
      <c r="E13" s="5">
        <f>COUNTA('6월8일'!B6:B25)+COUNTA('6월8일'!H6:H25)</f>
        <v>0</v>
      </c>
    </row>
    <row r="14" spans="1:5" x14ac:dyDescent="0.45">
      <c r="A14" s="2" t="s">
        <v>14</v>
      </c>
      <c r="B14" s="3">
        <f>'6월9일'!I27</f>
        <v>0</v>
      </c>
      <c r="C14" s="4">
        <f>'6월9일'!J27</f>
        <v>0</v>
      </c>
      <c r="D14" s="5">
        <f>'6월9일'!L26</f>
        <v>0</v>
      </c>
      <c r="E14" s="5">
        <f>COUNTA('6월9일'!B6:B25)+COUNTA('6월9일'!H6:H25)</f>
        <v>0</v>
      </c>
    </row>
    <row r="15" spans="1:5" x14ac:dyDescent="0.45">
      <c r="A15" s="2" t="s">
        <v>15</v>
      </c>
      <c r="B15" s="3">
        <f>'6월10일'!I27</f>
        <v>0</v>
      </c>
      <c r="C15" s="4">
        <f>'6월10일'!J27</f>
        <v>0</v>
      </c>
      <c r="D15" s="5">
        <f>'6월10일'!L26</f>
        <v>0</v>
      </c>
      <c r="E15" s="5">
        <f>COUNTA('6월10일'!B6:B25)+COUNTA('6월10일'!H6:H25)</f>
        <v>0</v>
      </c>
    </row>
    <row r="16" spans="1:5" x14ac:dyDescent="0.45">
      <c r="A16" s="2" t="s">
        <v>16</v>
      </c>
      <c r="B16" s="3">
        <f>'6월11일'!I27</f>
        <v>0</v>
      </c>
      <c r="C16" s="4">
        <f>'6월11일'!J27</f>
        <v>0</v>
      </c>
      <c r="D16" s="5">
        <f>'6월11일'!L26</f>
        <v>0</v>
      </c>
      <c r="E16" s="5">
        <f>COUNTA('6월11일'!B6:B25)+COUNTA('6월11일'!H6:H25)</f>
        <v>0</v>
      </c>
    </row>
    <row r="17" spans="1:15" x14ac:dyDescent="0.45">
      <c r="A17" s="2" t="s">
        <v>17</v>
      </c>
      <c r="B17" s="3">
        <f>'6월12일'!I27</f>
        <v>0</v>
      </c>
      <c r="C17" s="4">
        <f>'6월12일'!J27</f>
        <v>0</v>
      </c>
      <c r="D17" s="5">
        <f>'6월12일'!L26</f>
        <v>0</v>
      </c>
      <c r="E17" s="5">
        <f>COUNTA('6월12일'!B6:B25)+COUNTA('6월12일'!H6:H25)</f>
        <v>0</v>
      </c>
    </row>
    <row r="18" spans="1:15" x14ac:dyDescent="0.45">
      <c r="A18" s="2" t="s">
        <v>18</v>
      </c>
      <c r="B18" s="3">
        <f>'6월13일'!I27</f>
        <v>0</v>
      </c>
      <c r="C18" s="4">
        <f>'6월13일'!J27</f>
        <v>0</v>
      </c>
      <c r="D18" s="5">
        <f>'6월13일'!L26</f>
        <v>0</v>
      </c>
      <c r="E18" s="5">
        <f>COUNTA('6월13일'!B6:B25)+COUNTA('6월13일'!H6:H25)</f>
        <v>0</v>
      </c>
    </row>
    <row r="19" spans="1:15" x14ac:dyDescent="0.45">
      <c r="A19" s="2" t="s">
        <v>19</v>
      </c>
      <c r="B19" s="3">
        <f>'6월14일'!I27</f>
        <v>0</v>
      </c>
      <c r="C19" s="4">
        <f>'6월14일'!J27</f>
        <v>0</v>
      </c>
      <c r="D19" s="5">
        <f>'6월14일'!L26</f>
        <v>0</v>
      </c>
      <c r="E19" s="5">
        <f>COUNTA('6월14일'!B6:B25)+COUNTA('6월14일'!H6:H25)</f>
        <v>0</v>
      </c>
    </row>
    <row r="20" spans="1:15" x14ac:dyDescent="0.45">
      <c r="A20" s="2" t="s">
        <v>20</v>
      </c>
      <c r="B20" s="3">
        <f>'6월15일'!I27</f>
        <v>0</v>
      </c>
      <c r="C20" s="4">
        <f>'6월15일'!J27</f>
        <v>0</v>
      </c>
      <c r="D20" s="5">
        <f>'6월15일'!L26</f>
        <v>0</v>
      </c>
      <c r="E20" s="5">
        <f>COUNTA('6월15일'!B6:B25)+COUNTA('6월15일'!H6:H25)</f>
        <v>0</v>
      </c>
    </row>
    <row r="21" spans="1:15" x14ac:dyDescent="0.45">
      <c r="A21" s="2" t="s">
        <v>21</v>
      </c>
      <c r="B21" s="3">
        <f>'6월16일'!I27</f>
        <v>0</v>
      </c>
      <c r="C21" s="4">
        <f>'6월16일'!J27</f>
        <v>0</v>
      </c>
      <c r="D21" s="5">
        <f>'6월16일'!L26</f>
        <v>0</v>
      </c>
      <c r="E21" s="5">
        <f>COUNTA('6월16일'!B6:B25)+COUNTA('6월16일'!H6:H25)</f>
        <v>0</v>
      </c>
    </row>
    <row r="22" spans="1:15" x14ac:dyDescent="0.45">
      <c r="A22" s="2" t="s">
        <v>22</v>
      </c>
      <c r="B22" s="3">
        <f>'6월17일'!I27</f>
        <v>0</v>
      </c>
      <c r="C22" s="4">
        <f>'6월17일'!J27</f>
        <v>0</v>
      </c>
      <c r="D22" s="5">
        <f>'6월17일'!L26</f>
        <v>0</v>
      </c>
      <c r="E22" s="5">
        <f>COUNTA('6월17일'!B6:B25)+COUNTA('6월17일'!H6:H25)</f>
        <v>0</v>
      </c>
    </row>
    <row r="23" spans="1:15" x14ac:dyDescent="0.45">
      <c r="A23" s="2" t="s">
        <v>23</v>
      </c>
      <c r="B23" s="3">
        <f>'6월18일'!I27</f>
        <v>0</v>
      </c>
      <c r="C23" s="4">
        <f>'6월18일'!J27</f>
        <v>0</v>
      </c>
      <c r="D23" s="5">
        <f>'6월18일'!L26</f>
        <v>0</v>
      </c>
      <c r="E23" s="5">
        <f>COUNTA('6월18일'!B6:B25)+COUNTA('6월18일'!H6:H25)</f>
        <v>0</v>
      </c>
    </row>
    <row r="24" spans="1:15" x14ac:dyDescent="0.45">
      <c r="A24" s="2" t="s">
        <v>24</v>
      </c>
      <c r="B24" s="3">
        <f>'6월19일'!I27</f>
        <v>0</v>
      </c>
      <c r="C24" s="4">
        <f>'6월19일'!J27</f>
        <v>0</v>
      </c>
      <c r="D24" s="5">
        <f>'6월19일'!L26</f>
        <v>0</v>
      </c>
      <c r="E24" s="5">
        <f>COUNTA('6월19일'!B6:B25)+COUNTA('6월19일'!H6:H25)</f>
        <v>0</v>
      </c>
    </row>
    <row r="25" spans="1:15" x14ac:dyDescent="0.45">
      <c r="A25" s="2" t="s">
        <v>25</v>
      </c>
      <c r="B25" s="3">
        <f>'6월20일'!I27</f>
        <v>0</v>
      </c>
      <c r="C25" s="4">
        <f>'6월20일'!J27</f>
        <v>0</v>
      </c>
      <c r="D25" s="5">
        <f>'6월20일'!L26</f>
        <v>0</v>
      </c>
      <c r="E25" s="5">
        <f>COUNTA('6월20일'!B6:B25)+COUNTA('6월20일'!H6:H25)</f>
        <v>0</v>
      </c>
    </row>
    <row r="26" spans="1:15" x14ac:dyDescent="0.45">
      <c r="A26" s="2" t="s">
        <v>26</v>
      </c>
      <c r="B26" s="3">
        <f>'6월21일'!I27</f>
        <v>0</v>
      </c>
      <c r="C26" s="4">
        <f>'6월21일'!J27</f>
        <v>0</v>
      </c>
      <c r="D26" s="5">
        <f>'6월21일'!L26</f>
        <v>0</v>
      </c>
      <c r="E26" s="5">
        <f>COUNTA('6월21일'!B6:B25)+COUNTA('6월21일'!H6:H25)</f>
        <v>0</v>
      </c>
    </row>
    <row r="27" spans="1:15" x14ac:dyDescent="0.45">
      <c r="A27" s="2" t="s">
        <v>27</v>
      </c>
      <c r="B27" s="3">
        <f>'6월22일'!I27</f>
        <v>0</v>
      </c>
      <c r="C27" s="4">
        <f>'6월22일'!J27</f>
        <v>0</v>
      </c>
      <c r="D27" s="5">
        <f>'6월22일'!L26</f>
        <v>0</v>
      </c>
      <c r="E27" s="5">
        <f>COUNTA('6월22일'!B6:B25)+COUNTA('6월22일'!H6:H25)</f>
        <v>0</v>
      </c>
      <c r="F27" s="49" t="s">
        <v>28</v>
      </c>
      <c r="G27" s="49" t="s">
        <v>29</v>
      </c>
      <c r="H27" s="49" t="s">
        <v>30</v>
      </c>
      <c r="I27" s="49" t="s">
        <v>31</v>
      </c>
      <c r="J27" s="49" t="s">
        <v>32</v>
      </c>
      <c r="K27" s="49" t="s">
        <v>33</v>
      </c>
      <c r="L27" s="49" t="s">
        <v>34</v>
      </c>
      <c r="M27" s="49" t="s">
        <v>35</v>
      </c>
      <c r="N27" s="49" t="s">
        <v>36</v>
      </c>
    </row>
    <row r="28" spans="1:15" x14ac:dyDescent="0.45">
      <c r="A28" s="2" t="s">
        <v>37</v>
      </c>
      <c r="B28" s="3">
        <f>'6월23일'!I27</f>
        <v>0</v>
      </c>
      <c r="C28" s="4">
        <f>'6월23일'!J27</f>
        <v>0</v>
      </c>
      <c r="D28" s="5">
        <f>'6월23일'!L26</f>
        <v>0</v>
      </c>
      <c r="E28" s="5">
        <f>COUNTA('6월23일'!B6:B25)+COUNTA('6월23일'!H6:H25)</f>
        <v>0</v>
      </c>
      <c r="F28" s="55">
        <v>1400000</v>
      </c>
      <c r="G28" s="55">
        <v>300000</v>
      </c>
      <c r="H28" s="55">
        <v>5000</v>
      </c>
      <c r="I28" s="55">
        <v>25000</v>
      </c>
      <c r="J28" s="55">
        <v>50000</v>
      </c>
      <c r="K28" s="55">
        <v>6000000</v>
      </c>
      <c r="L28" s="56"/>
      <c r="M28" s="56"/>
      <c r="N28" s="55">
        <f>SUM(F28:M28)</f>
        <v>7780000</v>
      </c>
      <c r="O28" s="50"/>
    </row>
    <row r="29" spans="1:15" x14ac:dyDescent="0.45">
      <c r="A29" s="2" t="s">
        <v>38</v>
      </c>
      <c r="B29" s="3">
        <f>'6월24일'!I27</f>
        <v>0</v>
      </c>
      <c r="C29" s="4">
        <f>'6월24일'!J27</f>
        <v>0</v>
      </c>
      <c r="D29" s="5">
        <f>'6월24일'!L26</f>
        <v>0</v>
      </c>
      <c r="E29" s="5">
        <f>COUNTA('6월24일'!B6:B25)+COUNTA('6월24일'!H6:H25)</f>
        <v>0</v>
      </c>
    </row>
    <row r="30" spans="1:15" x14ac:dyDescent="0.45">
      <c r="A30" s="2" t="s">
        <v>39</v>
      </c>
      <c r="B30" s="3">
        <f>'6월25일'!I27</f>
        <v>0</v>
      </c>
      <c r="C30" s="4">
        <f>'6월25일'!J27</f>
        <v>0</v>
      </c>
      <c r="D30" s="5">
        <f>'6월25일'!L26</f>
        <v>0</v>
      </c>
      <c r="E30" s="5">
        <f>COUNTA('6월25일'!B6:B25)+COUNTA('6월25일'!H6:H25)</f>
        <v>0</v>
      </c>
    </row>
    <row r="31" spans="1:15" x14ac:dyDescent="0.45">
      <c r="A31" s="2" t="s">
        <v>40</v>
      </c>
      <c r="B31" s="3">
        <f>'6월26일'!I27</f>
        <v>0</v>
      </c>
      <c r="C31" s="4">
        <f>'6월26일'!J27</f>
        <v>0</v>
      </c>
      <c r="D31" s="5">
        <f>'6월26일'!L26</f>
        <v>0</v>
      </c>
      <c r="E31" s="5">
        <f>COUNTA('6월26일'!B6:B25)+COUNTA('6월26일'!H6:H25)</f>
        <v>0</v>
      </c>
    </row>
    <row r="32" spans="1:15" x14ac:dyDescent="0.45">
      <c r="A32" s="2" t="s">
        <v>41</v>
      </c>
      <c r="B32" s="3">
        <f>'6월27일'!I27</f>
        <v>0</v>
      </c>
      <c r="C32" s="4">
        <f>'6월27일'!J27</f>
        <v>0</v>
      </c>
      <c r="D32" s="5">
        <f>'6월27일'!L26</f>
        <v>0</v>
      </c>
      <c r="E32" s="5">
        <f>COUNTA('6월27일'!B6:B25)+COUNTA('6월27일'!H6:H25)</f>
        <v>0</v>
      </c>
    </row>
    <row r="33" spans="1:6" x14ac:dyDescent="0.45">
      <c r="A33" s="2" t="s">
        <v>42</v>
      </c>
      <c r="B33" s="3">
        <f>'6월28일'!I27</f>
        <v>0</v>
      </c>
      <c r="C33" s="4">
        <f>'6월28일'!J27</f>
        <v>0</v>
      </c>
      <c r="D33" s="5">
        <f>'6월28일'!L26</f>
        <v>0</v>
      </c>
      <c r="E33" s="5">
        <f>COUNTA('6월28일'!B6:B25)+COUNTA('6월28일'!H6:H25)</f>
        <v>0</v>
      </c>
    </row>
    <row r="34" spans="1:6" x14ac:dyDescent="0.45">
      <c r="A34" s="2" t="s">
        <v>43</v>
      </c>
      <c r="B34" s="3">
        <f>'6월29일'!I27</f>
        <v>0</v>
      </c>
      <c r="C34" s="4">
        <f>'6월29일'!J27</f>
        <v>0</v>
      </c>
      <c r="D34" s="5">
        <f>'6월29일'!L26</f>
        <v>0</v>
      </c>
      <c r="E34" s="5">
        <f>COUNTA('6월29일'!B6:B25)+COUNTA('6월29일'!H6:H25)</f>
        <v>0</v>
      </c>
    </row>
    <row r="35" spans="1:6" x14ac:dyDescent="0.45">
      <c r="A35" s="2" t="s">
        <v>44</v>
      </c>
      <c r="B35" s="3">
        <f>'6월30일'!I27</f>
        <v>0</v>
      </c>
      <c r="C35" s="4">
        <f>'6월30일'!J27</f>
        <v>0</v>
      </c>
      <c r="D35" s="5">
        <f>'6월30일'!L26</f>
        <v>0</v>
      </c>
      <c r="E35" s="5">
        <f>COUNTA('6월30일'!B6:B25)+COUNTA('6월30일'!H6:H25)</f>
        <v>0</v>
      </c>
    </row>
    <row r="36" spans="1:6" x14ac:dyDescent="0.45">
      <c r="A36" s="6" t="s">
        <v>45</v>
      </c>
      <c r="B36" s="7">
        <f>SUM(B6:B35)</f>
        <v>0</v>
      </c>
      <c r="C36" s="8">
        <f>SUM(C6:C35)</f>
        <v>0</v>
      </c>
      <c r="D36" s="9">
        <f>SUM(D6:D35)</f>
        <v>0</v>
      </c>
      <c r="E36" s="9">
        <f>SUM(E6:E35)</f>
        <v>0</v>
      </c>
    </row>
    <row r="37" spans="1:6" x14ac:dyDescent="0.45">
      <c r="B37" s="47" t="s">
        <v>46</v>
      </c>
      <c r="C37" s="47" t="s">
        <v>47</v>
      </c>
      <c r="F37" s="51">
        <f>D37-N28</f>
        <v>-7780000</v>
      </c>
    </row>
    <row r="38" spans="1:6" s="47" customFormat="1" x14ac:dyDescent="0.45">
      <c r="B38" s="52" t="e">
        <f>B36/D36</f>
        <v>#DIV/0!</v>
      </c>
      <c r="C38" s="53" t="e">
        <f>C36/D36</f>
        <v>#DIV/0!</v>
      </c>
      <c r="D38" s="54">
        <f>D37/31</f>
        <v>0</v>
      </c>
      <c r="E38" s="54"/>
    </row>
    <row r="39" spans="1:6" s="48" customFormat="1" x14ac:dyDescent="0.45"/>
  </sheetData>
  <mergeCells count="1">
    <mergeCell ref="A2:D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49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I27</f>
        <v>0</v>
      </c>
      <c r="J28" s="21">
        <f>J27</f>
        <v>0</v>
      </c>
      <c r="K28" s="22">
        <f>L26</f>
        <v>0</v>
      </c>
      <c r="L28" s="64">
        <f>L26</f>
        <v>0</v>
      </c>
      <c r="M28" s="62"/>
      <c r="N28" s="19"/>
      <c r="O28" s="24">
        <f>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59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'6월1일'!I28+I27</f>
        <v>0</v>
      </c>
      <c r="J28" s="21">
        <f>'6월1일'!J28+J27</f>
        <v>0</v>
      </c>
      <c r="K28" s="22">
        <f>'6월1일'!K28+L26</f>
        <v>0</v>
      </c>
      <c r="L28" s="64">
        <f>'6월1일'!L28+L26</f>
        <v>0</v>
      </c>
      <c r="M28" s="62"/>
      <c r="N28" s="19"/>
      <c r="O28" s="24">
        <f>'6월1일'!O28+N26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60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K28/3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'6월2일'!I28+I27</f>
        <v>0</v>
      </c>
      <c r="J28" s="21">
        <f>'6월2일'!J28+J27</f>
        <v>0</v>
      </c>
      <c r="K28" s="22">
        <f>'6월2일'!K28+L26</f>
        <v>0</v>
      </c>
      <c r="L28" s="64">
        <f>'6월2일'!L28+L26</f>
        <v>0</v>
      </c>
      <c r="M28" s="62"/>
      <c r="N28" s="19"/>
      <c r="O28" s="24">
        <f>'6월2일'!O28+N26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61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K28/4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'6월3일'!I28+I27</f>
        <v>0</v>
      </c>
      <c r="J28" s="21">
        <f>'6월3일'!J28+J27</f>
        <v>0</v>
      </c>
      <c r="K28" s="22">
        <f>'6월3일'!K28+L26</f>
        <v>0</v>
      </c>
      <c r="L28" s="64">
        <f>'6월3일'!L28+L26</f>
        <v>0</v>
      </c>
      <c r="M28" s="62"/>
      <c r="N28" s="19"/>
      <c r="O28" s="24">
        <f>'6월3일'!O28+N26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62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K28/5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'6월4일'!I28+I27</f>
        <v>0</v>
      </c>
      <c r="J28" s="21">
        <f>'6월4일'!J28+J27</f>
        <v>0</v>
      </c>
      <c r="K28" s="22">
        <f>'6월4일'!K28+L26</f>
        <v>0</v>
      </c>
      <c r="L28" s="64">
        <f>'6월4일'!L28+L26</f>
        <v>0</v>
      </c>
      <c r="M28" s="62"/>
      <c r="N28" s="19"/>
      <c r="O28" s="24">
        <f>'6월4일'!O28+N26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63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K28/6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'6월5일'!I28+I27</f>
        <v>0</v>
      </c>
      <c r="J28" s="21">
        <f>'6월5일'!J28+J27</f>
        <v>0</v>
      </c>
      <c r="K28" s="22">
        <f>'6월5일'!K28+L26</f>
        <v>0</v>
      </c>
      <c r="L28" s="64">
        <f>'6월5일'!L28+L26</f>
        <v>0</v>
      </c>
      <c r="M28" s="62"/>
      <c r="N28" s="19"/>
      <c r="O28" s="24">
        <f>'6월5일'!O28+N26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64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K28/7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'6월6일'!I28+I27</f>
        <v>0</v>
      </c>
      <c r="J28" s="21">
        <f>'6월6일'!J28+J27</f>
        <v>0</v>
      </c>
      <c r="K28" s="22">
        <f>'6월6일'!K28+L26</f>
        <v>0</v>
      </c>
      <c r="L28" s="64">
        <f>'6월6일'!L28+L26</f>
        <v>0</v>
      </c>
      <c r="M28" s="62"/>
      <c r="N28" s="19"/>
      <c r="O28" s="24">
        <f>'6월6일'!O28+N26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65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K28/8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'6월7일'!I28+I27</f>
        <v>0</v>
      </c>
      <c r="J28" s="21">
        <f>'6월7일'!J28+J27</f>
        <v>0</v>
      </c>
      <c r="K28" s="22">
        <f>'6월7일'!K28+L26</f>
        <v>0</v>
      </c>
      <c r="L28" s="64">
        <f>'6월7일'!L28+L26</f>
        <v>0</v>
      </c>
      <c r="M28" s="62"/>
      <c r="N28" s="19"/>
      <c r="O28" s="24">
        <f>'6월7일'!O28+N26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66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K28/9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'6월8일'!I28+I27</f>
        <v>0</v>
      </c>
      <c r="J28" s="21">
        <f>'6월8일'!J28+J27</f>
        <v>0</v>
      </c>
      <c r="K28" s="22">
        <f>'6월8일'!K28+L26</f>
        <v>0</v>
      </c>
      <c r="L28" s="64">
        <f>'6월8일'!L28+L26</f>
        <v>0</v>
      </c>
      <c r="M28" s="62"/>
      <c r="N28" s="19"/>
      <c r="O28" s="24">
        <f>'6월8일'!O28+N26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67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K28/10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'6월9일'!I28+I27</f>
        <v>0</v>
      </c>
      <c r="J28" s="21">
        <f>'6월9일'!J28+J27</f>
        <v>0</v>
      </c>
      <c r="K28" s="22">
        <f>'6월9일'!K28+L26</f>
        <v>0</v>
      </c>
      <c r="L28" s="64">
        <f>'6월9일'!L28+L26</f>
        <v>0</v>
      </c>
      <c r="M28" s="62"/>
      <c r="N28" s="19"/>
      <c r="O28" s="24">
        <f>'6월9일'!O28+N26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68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K28/11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'6월10일'!I28+I27</f>
        <v>0</v>
      </c>
      <c r="J28" s="21">
        <f>'6월10일'!J28+J27</f>
        <v>0</v>
      </c>
      <c r="K28" s="22">
        <f>'6월10일'!K28+L26</f>
        <v>0</v>
      </c>
      <c r="L28" s="64">
        <f>'6월10일'!L28+L26</f>
        <v>0</v>
      </c>
      <c r="M28" s="62"/>
      <c r="N28" s="19"/>
      <c r="O28" s="24">
        <f>'6월10일'!O28+N26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69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K28/12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'6월11일'!I28+I27</f>
        <v>0</v>
      </c>
      <c r="J28" s="21">
        <f>'6월11일'!J28+J27</f>
        <v>0</v>
      </c>
      <c r="K28" s="22">
        <f>'6월11일'!K28+L26</f>
        <v>0</v>
      </c>
      <c r="L28" s="64">
        <f>'6월11일'!L28+L26</f>
        <v>0</v>
      </c>
      <c r="M28" s="62"/>
      <c r="N28" s="19"/>
      <c r="O28" s="24">
        <f>'6월11일'!O28+N26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70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K28/13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'6월12일'!I28+I27</f>
        <v>0</v>
      </c>
      <c r="J28" s="21">
        <f>'6월12일'!J28+J27</f>
        <v>0</v>
      </c>
      <c r="K28" s="22">
        <f>'6월12일'!K28+L26</f>
        <v>0</v>
      </c>
      <c r="L28" s="64">
        <f>'6월12일'!L28+L26</f>
        <v>0</v>
      </c>
      <c r="M28" s="62"/>
      <c r="N28" s="19"/>
      <c r="O28" s="24">
        <f>'6월12일'!O28+N26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71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K28/14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'6월13일'!I28+I27</f>
        <v>0</v>
      </c>
      <c r="J28" s="21">
        <f>'6월13일'!J28+J27</f>
        <v>0</v>
      </c>
      <c r="K28" s="22">
        <f>'6월13일'!K28+L26</f>
        <v>0</v>
      </c>
      <c r="L28" s="64">
        <f>'6월13일'!L28+L26</f>
        <v>0</v>
      </c>
      <c r="M28" s="62"/>
      <c r="N28" s="19"/>
      <c r="O28" s="24">
        <f>'6월13일'!O28+N26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72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K28/15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'6월14일'!I28+I27</f>
        <v>0</v>
      </c>
      <c r="J28" s="21">
        <f>'6월14일'!J28+J27</f>
        <v>0</v>
      </c>
      <c r="K28" s="22">
        <f>'6월14일'!K28+L26</f>
        <v>0</v>
      </c>
      <c r="L28" s="64">
        <f>'6월14일'!L28+L26</f>
        <v>0</v>
      </c>
      <c r="M28" s="62"/>
      <c r="N28" s="19"/>
      <c r="O28" s="24">
        <f>'6월14일'!O28+N26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73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K28/16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'6월15일'!I28+I27</f>
        <v>0</v>
      </c>
      <c r="J28" s="21">
        <f>'6월15일'!J28+J27</f>
        <v>0</v>
      </c>
      <c r="K28" s="22">
        <f>'6월15일'!K28+L26</f>
        <v>0</v>
      </c>
      <c r="L28" s="64">
        <f>'6월15일'!L28+L26</f>
        <v>0</v>
      </c>
      <c r="M28" s="62"/>
      <c r="N28" s="19"/>
      <c r="O28" s="24">
        <f>'6월15일'!O28+N26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74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K28/17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'6월16일'!I28+I27</f>
        <v>0</v>
      </c>
      <c r="J28" s="21">
        <f>'6월16일'!J28+J27</f>
        <v>0</v>
      </c>
      <c r="K28" s="22">
        <f>'6월16일'!K28+L26</f>
        <v>0</v>
      </c>
      <c r="L28" s="64">
        <f>'6월16일'!L28+L26</f>
        <v>0</v>
      </c>
      <c r="M28" s="62"/>
      <c r="N28" s="19"/>
      <c r="O28" s="24">
        <f>'6월16일'!O28+N26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75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K28/18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'6월17일'!I28+I27</f>
        <v>0</v>
      </c>
      <c r="J28" s="21">
        <f>'6월17일'!J28+J27</f>
        <v>0</v>
      </c>
      <c r="K28" s="22">
        <f>'6월17일'!K28+L26</f>
        <v>0</v>
      </c>
      <c r="L28" s="64">
        <f>'6월17일'!L28+L26</f>
        <v>0</v>
      </c>
      <c r="M28" s="62"/>
      <c r="N28" s="19"/>
      <c r="O28" s="24">
        <f>'6월17일'!O28+N26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76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K28/19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'6월18일'!I28+I27</f>
        <v>0</v>
      </c>
      <c r="J28" s="21">
        <f>'6월18일'!J28+J27</f>
        <v>0</v>
      </c>
      <c r="K28" s="22">
        <f>'6월18일'!K28+L26</f>
        <v>0</v>
      </c>
      <c r="L28" s="64">
        <f>'6월18일'!L28+L26</f>
        <v>0</v>
      </c>
      <c r="M28" s="62"/>
      <c r="N28" s="19"/>
      <c r="O28" s="24">
        <f>'6월18일'!O28+N26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77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K28/20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'6월19일'!I28+I27</f>
        <v>0</v>
      </c>
      <c r="J28" s="21">
        <f>'6월19일'!J28+J27</f>
        <v>0</v>
      </c>
      <c r="K28" s="22">
        <f>'6월19일'!K28+L26</f>
        <v>0</v>
      </c>
      <c r="L28" s="64">
        <f>'6월19일'!L28+L26</f>
        <v>0</v>
      </c>
      <c r="M28" s="62"/>
      <c r="N28" s="19"/>
      <c r="O28" s="24">
        <f>'6월19일'!O28+N26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78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K28/21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'6월20일'!I28+I27</f>
        <v>0</v>
      </c>
      <c r="J28" s="21">
        <f>'6월20일'!J28+J27</f>
        <v>0</v>
      </c>
      <c r="K28" s="22">
        <f>'6월20일'!K28+L26</f>
        <v>0</v>
      </c>
      <c r="L28" s="64">
        <f>'6월20일'!L28+L26</f>
        <v>0</v>
      </c>
      <c r="M28" s="62"/>
      <c r="N28" s="19"/>
      <c r="O28" s="24">
        <f>'6월20일'!O28+N26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79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K28/22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'6월21일'!I28+I27</f>
        <v>0</v>
      </c>
      <c r="J28" s="21">
        <f>'6월21일'!J28+J27</f>
        <v>0</v>
      </c>
      <c r="K28" s="22">
        <f>'6월21일'!K28+L26</f>
        <v>0</v>
      </c>
      <c r="L28" s="64">
        <f>'6월21일'!L28+L26</f>
        <v>0</v>
      </c>
      <c r="M28" s="62"/>
      <c r="N28" s="19"/>
      <c r="O28" s="24">
        <f>'6월21일'!O28+N26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80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K28/23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'6월22일'!I28+I27</f>
        <v>0</v>
      </c>
      <c r="J28" s="21">
        <f>'6월22일'!J28+J27</f>
        <v>0</v>
      </c>
      <c r="K28" s="22">
        <f>'6월22일'!K28+L26</f>
        <v>0</v>
      </c>
      <c r="L28" s="64">
        <f>'6월22일'!L28+L26</f>
        <v>0</v>
      </c>
      <c r="M28" s="62"/>
      <c r="N28" s="19"/>
      <c r="O28" s="24">
        <f>'6월22일'!O28+N26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81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K28/24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'6월23일'!I28+I27</f>
        <v>0</v>
      </c>
      <c r="J28" s="21">
        <f>'6월23일'!J28+J27</f>
        <v>0</v>
      </c>
      <c r="K28" s="22">
        <f>'6월23일'!K28+L26</f>
        <v>0</v>
      </c>
      <c r="L28" s="64">
        <f>'6월23일'!L28+L26</f>
        <v>0</v>
      </c>
      <c r="M28" s="62"/>
      <c r="N28" s="19"/>
      <c r="O28" s="24">
        <f>'6월23일'!O28+N26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82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K28/25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'6월24일'!I28+I27</f>
        <v>0</v>
      </c>
      <c r="J28" s="21">
        <f>'6월24일'!J28+J27</f>
        <v>0</v>
      </c>
      <c r="K28" s="22">
        <f>'6월24일'!K28+L26</f>
        <v>0</v>
      </c>
      <c r="L28" s="64">
        <f>'6월24일'!L28+L26</f>
        <v>0</v>
      </c>
      <c r="M28" s="62"/>
      <c r="N28" s="19"/>
      <c r="O28" s="24">
        <f>'6월24일'!O28+N26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83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K28/26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'6월25일'!I28+I27</f>
        <v>0</v>
      </c>
      <c r="J28" s="21">
        <f>'6월25일'!J28+J27</f>
        <v>0</v>
      </c>
      <c r="K28" s="22">
        <f>'6월25일'!K28+L26</f>
        <v>0</v>
      </c>
      <c r="L28" s="64">
        <f>'6월25일'!L28+L26</f>
        <v>0</v>
      </c>
      <c r="M28" s="62"/>
      <c r="N28" s="19"/>
      <c r="O28" s="24">
        <f>'6월25일'!O28+N26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84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K28/27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'6월26일'!I28+I27</f>
        <v>0</v>
      </c>
      <c r="J28" s="21">
        <f>'6월26일'!J28+J27</f>
        <v>0</v>
      </c>
      <c r="K28" s="22">
        <f>'6월26일'!K28+L26</f>
        <v>0</v>
      </c>
      <c r="L28" s="64">
        <f>'6월26일'!L28+L26</f>
        <v>0</v>
      </c>
      <c r="M28" s="62"/>
      <c r="N28" s="19"/>
      <c r="O28" s="24">
        <f>'6월26일'!O28+N26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85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K28/28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'6월27일'!I28+I27</f>
        <v>0</v>
      </c>
      <c r="J28" s="21">
        <f>'6월27일'!J28+J27</f>
        <v>0</v>
      </c>
      <c r="K28" s="22">
        <f>'6월27일'!K28+L26</f>
        <v>0</v>
      </c>
      <c r="L28" s="64">
        <f>'6월27일'!L28+L26</f>
        <v>0</v>
      </c>
      <c r="M28" s="62"/>
      <c r="N28" s="19"/>
      <c r="O28" s="24">
        <f>'6월27일'!O28+N26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86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K28/29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'6월28일'!I28+I27</f>
        <v>0</v>
      </c>
      <c r="J28" s="21">
        <f>'6월28일'!J28+J27</f>
        <v>0</v>
      </c>
      <c r="K28" s="22">
        <f>'6월28일'!K28+L26</f>
        <v>0</v>
      </c>
      <c r="L28" s="64">
        <f>'6월28일'!L28+L26</f>
        <v>0</v>
      </c>
      <c r="M28" s="62"/>
      <c r="N28" s="19"/>
      <c r="O28" s="24">
        <f>'6월28일'!O28+N26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29"/>
  <sheetViews>
    <sheetView workbookViewId="0"/>
  </sheetViews>
  <sheetFormatPr defaultRowHeight="17" x14ac:dyDescent="0.45"/>
  <cols>
    <col min="1" max="1" width="4" style="32" customWidth="1"/>
    <col min="2" max="3" width="8" customWidth="1"/>
    <col min="4" max="4" width="10.1640625" customWidth="1"/>
    <col min="5" max="7" width="12" customWidth="1"/>
    <col min="8" max="8" width="23.5" customWidth="1"/>
    <col min="9" max="11" width="12" customWidth="1"/>
    <col min="12" max="12" width="14" customWidth="1"/>
    <col min="13" max="13" width="4" customWidth="1"/>
    <col min="14" max="15" width="8" customWidth="1"/>
  </cols>
  <sheetData>
    <row r="1" spans="1:15" ht="15" customHeight="1" x14ac:dyDescent="0.45">
      <c r="A1" s="71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45">
      <c r="A2" s="72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45">
      <c r="A3" s="72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ht="20" customHeight="1" x14ac:dyDescent="0.45">
      <c r="K4" s="10" t="s">
        <v>87</v>
      </c>
    </row>
    <row r="5" spans="1:15" s="31" customFormat="1" ht="25" customHeight="1" x14ac:dyDescent="0.45">
      <c r="A5" s="37" t="s">
        <v>50</v>
      </c>
      <c r="B5" s="65" t="s">
        <v>51</v>
      </c>
      <c r="C5" s="67"/>
      <c r="D5" s="66"/>
      <c r="E5" s="39" t="s">
        <v>52</v>
      </c>
      <c r="F5" s="40" t="s">
        <v>53</v>
      </c>
      <c r="G5" s="38" t="s">
        <v>54</v>
      </c>
      <c r="H5" s="38" t="s">
        <v>55</v>
      </c>
      <c r="I5" s="39" t="s">
        <v>52</v>
      </c>
      <c r="J5" s="40" t="s">
        <v>53</v>
      </c>
      <c r="K5" s="38" t="s">
        <v>54</v>
      </c>
      <c r="L5" s="38" t="s">
        <v>56</v>
      </c>
      <c r="M5" s="38"/>
      <c r="N5" s="65" t="s">
        <v>57</v>
      </c>
      <c r="O5" s="66"/>
    </row>
    <row r="6" spans="1:15" ht="28" customHeight="1" x14ac:dyDescent="0.45">
      <c r="A6" s="36">
        <v>1</v>
      </c>
      <c r="B6" s="60"/>
      <c r="C6" s="61"/>
      <c r="D6" s="62"/>
      <c r="E6" s="42"/>
      <c r="F6" s="43"/>
      <c r="G6" s="44">
        <f t="shared" ref="G6:G26" si="0">E6+F6</f>
        <v>0</v>
      </c>
      <c r="H6" s="45"/>
      <c r="I6" s="42"/>
      <c r="J6" s="43"/>
      <c r="K6" s="44">
        <f t="shared" ref="K6:K26" si="1">I6+J6</f>
        <v>0</v>
      </c>
      <c r="L6" s="46"/>
      <c r="M6" s="41"/>
      <c r="N6" s="63"/>
      <c r="O6" s="62"/>
    </row>
    <row r="7" spans="1:15" ht="20" customHeight="1" x14ac:dyDescent="0.45">
      <c r="A7" s="36">
        <v>2</v>
      </c>
      <c r="B7" s="60"/>
      <c r="C7" s="61"/>
      <c r="D7" s="62"/>
      <c r="E7" s="42"/>
      <c r="F7" s="43"/>
      <c r="G7" s="44">
        <f t="shared" si="0"/>
        <v>0</v>
      </c>
      <c r="H7" s="41"/>
      <c r="I7" s="42"/>
      <c r="J7" s="43"/>
      <c r="K7" s="44">
        <f t="shared" si="1"/>
        <v>0</v>
      </c>
      <c r="L7" s="46"/>
      <c r="M7" s="41"/>
      <c r="N7" s="63"/>
      <c r="O7" s="62"/>
    </row>
    <row r="8" spans="1:15" ht="20" customHeight="1" x14ac:dyDescent="0.45">
      <c r="A8" s="36">
        <v>3</v>
      </c>
      <c r="B8" s="60"/>
      <c r="C8" s="61"/>
      <c r="D8" s="62"/>
      <c r="E8" s="42"/>
      <c r="F8" s="43"/>
      <c r="G8" s="44">
        <f t="shared" si="0"/>
        <v>0</v>
      </c>
      <c r="H8" s="41"/>
      <c r="I8" s="42"/>
      <c r="J8" s="43"/>
      <c r="K8" s="44">
        <f t="shared" si="1"/>
        <v>0</v>
      </c>
      <c r="L8" s="46"/>
      <c r="M8" s="41"/>
      <c r="N8" s="63"/>
      <c r="O8" s="62"/>
    </row>
    <row r="9" spans="1:15" ht="20" customHeight="1" x14ac:dyDescent="0.45">
      <c r="A9" s="36">
        <v>4</v>
      </c>
      <c r="B9" s="60"/>
      <c r="C9" s="61"/>
      <c r="D9" s="62"/>
      <c r="E9" s="42"/>
      <c r="F9" s="43"/>
      <c r="G9" s="44">
        <f t="shared" si="0"/>
        <v>0</v>
      </c>
      <c r="H9" s="41"/>
      <c r="I9" s="42"/>
      <c r="J9" s="43"/>
      <c r="K9" s="44">
        <f t="shared" si="1"/>
        <v>0</v>
      </c>
      <c r="L9" s="46"/>
      <c r="M9" s="41"/>
      <c r="N9" s="63"/>
      <c r="O9" s="62"/>
    </row>
    <row r="10" spans="1:15" ht="20" customHeight="1" x14ac:dyDescent="0.45">
      <c r="A10" s="36">
        <v>5</v>
      </c>
      <c r="B10" s="60"/>
      <c r="C10" s="61"/>
      <c r="D10" s="62"/>
      <c r="E10" s="42"/>
      <c r="F10" s="43"/>
      <c r="G10" s="44">
        <f t="shared" si="0"/>
        <v>0</v>
      </c>
      <c r="H10" s="41"/>
      <c r="I10" s="42"/>
      <c r="J10" s="43"/>
      <c r="K10" s="44">
        <f t="shared" si="1"/>
        <v>0</v>
      </c>
      <c r="L10" s="46"/>
      <c r="M10" s="41"/>
      <c r="N10" s="63"/>
      <c r="O10" s="62"/>
    </row>
    <row r="11" spans="1:15" ht="20" customHeight="1" x14ac:dyDescent="0.45">
      <c r="A11" s="36">
        <v>6</v>
      </c>
      <c r="B11" s="60"/>
      <c r="C11" s="61"/>
      <c r="D11" s="62"/>
      <c r="E11" s="42"/>
      <c r="F11" s="43"/>
      <c r="G11" s="44">
        <f t="shared" si="0"/>
        <v>0</v>
      </c>
      <c r="H11" s="41"/>
      <c r="I11" s="42"/>
      <c r="J11" s="43"/>
      <c r="K11" s="44">
        <f t="shared" si="1"/>
        <v>0</v>
      </c>
      <c r="L11" s="46"/>
      <c r="M11" s="41"/>
      <c r="N11" s="63"/>
      <c r="O11" s="62"/>
    </row>
    <row r="12" spans="1:15" ht="20" customHeight="1" x14ac:dyDescent="0.45">
      <c r="A12" s="36">
        <v>7</v>
      </c>
      <c r="B12" s="60"/>
      <c r="C12" s="61"/>
      <c r="D12" s="62"/>
      <c r="E12" s="42"/>
      <c r="F12" s="43"/>
      <c r="G12" s="44">
        <f t="shared" si="0"/>
        <v>0</v>
      </c>
      <c r="H12" s="41"/>
      <c r="I12" s="42"/>
      <c r="J12" s="43"/>
      <c r="K12" s="44">
        <f t="shared" si="1"/>
        <v>0</v>
      </c>
      <c r="L12" s="46"/>
      <c r="M12" s="41"/>
      <c r="N12" s="63"/>
      <c r="O12" s="62"/>
    </row>
    <row r="13" spans="1:15" ht="20" customHeight="1" x14ac:dyDescent="0.45">
      <c r="A13" s="36">
        <v>8</v>
      </c>
      <c r="B13" s="60"/>
      <c r="C13" s="61"/>
      <c r="D13" s="62"/>
      <c r="E13" s="42"/>
      <c r="F13" s="43"/>
      <c r="G13" s="44">
        <f t="shared" si="0"/>
        <v>0</v>
      </c>
      <c r="H13" s="41"/>
      <c r="I13" s="42"/>
      <c r="J13" s="43"/>
      <c r="K13" s="44">
        <f t="shared" si="1"/>
        <v>0</v>
      </c>
      <c r="L13" s="46"/>
      <c r="M13" s="41"/>
      <c r="N13" s="63"/>
      <c r="O13" s="62"/>
    </row>
    <row r="14" spans="1:15" ht="20" customHeight="1" x14ac:dyDescent="0.45">
      <c r="A14" s="36">
        <v>9</v>
      </c>
      <c r="B14" s="60"/>
      <c r="C14" s="61"/>
      <c r="D14" s="62"/>
      <c r="E14" s="42"/>
      <c r="F14" s="43"/>
      <c r="G14" s="44">
        <f t="shared" si="0"/>
        <v>0</v>
      </c>
      <c r="H14" s="41"/>
      <c r="I14" s="42"/>
      <c r="J14" s="43"/>
      <c r="K14" s="44">
        <f t="shared" si="1"/>
        <v>0</v>
      </c>
      <c r="L14" s="46"/>
      <c r="M14" s="41"/>
      <c r="N14" s="63"/>
      <c r="O14" s="62"/>
    </row>
    <row r="15" spans="1:15" ht="20" customHeight="1" x14ac:dyDescent="0.45">
      <c r="A15" s="36">
        <v>10</v>
      </c>
      <c r="B15" s="60"/>
      <c r="C15" s="61"/>
      <c r="D15" s="62"/>
      <c r="E15" s="42"/>
      <c r="F15" s="43"/>
      <c r="G15" s="44">
        <f t="shared" si="0"/>
        <v>0</v>
      </c>
      <c r="H15" s="41"/>
      <c r="I15" s="42"/>
      <c r="J15" s="43"/>
      <c r="K15" s="44">
        <f t="shared" si="1"/>
        <v>0</v>
      </c>
      <c r="L15" s="46"/>
      <c r="M15" s="41"/>
      <c r="N15" s="63"/>
      <c r="O15" s="62"/>
    </row>
    <row r="16" spans="1:15" ht="20" customHeight="1" x14ac:dyDescent="0.45">
      <c r="A16" s="36">
        <v>11</v>
      </c>
      <c r="B16" s="60"/>
      <c r="C16" s="61"/>
      <c r="D16" s="62"/>
      <c r="E16" s="42"/>
      <c r="F16" s="43"/>
      <c r="G16" s="44">
        <f t="shared" si="0"/>
        <v>0</v>
      </c>
      <c r="H16" s="41"/>
      <c r="I16" s="42"/>
      <c r="J16" s="43"/>
      <c r="K16" s="44">
        <f t="shared" si="1"/>
        <v>0</v>
      </c>
      <c r="L16" s="46"/>
      <c r="M16" s="41"/>
      <c r="N16" s="63"/>
      <c r="O16" s="62"/>
    </row>
    <row r="17" spans="1:15" ht="20" customHeight="1" x14ac:dyDescent="0.45">
      <c r="A17" s="36">
        <v>12</v>
      </c>
      <c r="B17" s="60"/>
      <c r="C17" s="61"/>
      <c r="D17" s="62"/>
      <c r="E17" s="42"/>
      <c r="F17" s="43"/>
      <c r="G17" s="44">
        <f t="shared" si="0"/>
        <v>0</v>
      </c>
      <c r="H17" s="41"/>
      <c r="I17" s="42"/>
      <c r="J17" s="43"/>
      <c r="K17" s="44">
        <f t="shared" si="1"/>
        <v>0</v>
      </c>
      <c r="L17" s="46"/>
      <c r="M17" s="41"/>
      <c r="N17" s="63"/>
      <c r="O17" s="62"/>
    </row>
    <row r="18" spans="1:15" ht="20" customHeight="1" x14ac:dyDescent="0.45">
      <c r="A18" s="36">
        <v>13</v>
      </c>
      <c r="B18" s="60"/>
      <c r="C18" s="61"/>
      <c r="D18" s="62"/>
      <c r="E18" s="42"/>
      <c r="F18" s="43"/>
      <c r="G18" s="44">
        <f t="shared" si="0"/>
        <v>0</v>
      </c>
      <c r="H18" s="41"/>
      <c r="I18" s="42"/>
      <c r="J18" s="43"/>
      <c r="K18" s="44">
        <f t="shared" si="1"/>
        <v>0</v>
      </c>
      <c r="L18" s="46"/>
      <c r="M18" s="41"/>
      <c r="N18" s="63"/>
      <c r="O18" s="62"/>
    </row>
    <row r="19" spans="1:15" ht="20" customHeight="1" x14ac:dyDescent="0.45">
      <c r="A19" s="36">
        <v>14</v>
      </c>
      <c r="B19" s="60"/>
      <c r="C19" s="61"/>
      <c r="D19" s="62"/>
      <c r="E19" s="42"/>
      <c r="F19" s="43"/>
      <c r="G19" s="44">
        <f t="shared" si="0"/>
        <v>0</v>
      </c>
      <c r="H19" s="41"/>
      <c r="I19" s="42"/>
      <c r="J19" s="43"/>
      <c r="K19" s="44">
        <f t="shared" si="1"/>
        <v>0</v>
      </c>
      <c r="L19" s="46"/>
      <c r="M19" s="41"/>
      <c r="N19" s="63"/>
      <c r="O19" s="62"/>
    </row>
    <row r="20" spans="1:15" ht="20" customHeight="1" x14ac:dyDescent="0.45">
      <c r="A20" s="36">
        <v>15</v>
      </c>
      <c r="B20" s="60"/>
      <c r="C20" s="61"/>
      <c r="D20" s="62"/>
      <c r="E20" s="42"/>
      <c r="F20" s="43"/>
      <c r="G20" s="44">
        <f t="shared" si="0"/>
        <v>0</v>
      </c>
      <c r="H20" s="41"/>
      <c r="I20" s="42"/>
      <c r="J20" s="43"/>
      <c r="K20" s="44">
        <f t="shared" si="1"/>
        <v>0</v>
      </c>
      <c r="L20" s="46"/>
      <c r="M20" s="41"/>
      <c r="N20" s="63"/>
      <c r="O20" s="62"/>
    </row>
    <row r="21" spans="1:15" ht="20" customHeight="1" x14ac:dyDescent="0.45">
      <c r="A21" s="36">
        <v>16</v>
      </c>
      <c r="B21" s="60"/>
      <c r="C21" s="61"/>
      <c r="D21" s="62"/>
      <c r="E21" s="42"/>
      <c r="F21" s="43"/>
      <c r="G21" s="44">
        <f t="shared" si="0"/>
        <v>0</v>
      </c>
      <c r="H21" s="41"/>
      <c r="I21" s="42"/>
      <c r="J21" s="43"/>
      <c r="K21" s="44">
        <f t="shared" si="1"/>
        <v>0</v>
      </c>
      <c r="L21" s="46"/>
      <c r="M21" s="41"/>
      <c r="N21" s="63"/>
      <c r="O21" s="62"/>
    </row>
    <row r="22" spans="1:15" ht="20" customHeight="1" x14ac:dyDescent="0.45">
      <c r="A22" s="36">
        <v>17</v>
      </c>
      <c r="B22" s="60"/>
      <c r="C22" s="61"/>
      <c r="D22" s="62"/>
      <c r="E22" s="42"/>
      <c r="F22" s="43"/>
      <c r="G22" s="44">
        <f t="shared" si="0"/>
        <v>0</v>
      </c>
      <c r="H22" s="41"/>
      <c r="I22" s="42"/>
      <c r="J22" s="43"/>
      <c r="K22" s="44">
        <f t="shared" si="1"/>
        <v>0</v>
      </c>
      <c r="L22" s="46"/>
      <c r="M22" s="41"/>
      <c r="N22" s="63"/>
      <c r="O22" s="62"/>
    </row>
    <row r="23" spans="1:15" ht="20" customHeight="1" x14ac:dyDescent="0.45">
      <c r="A23" s="36">
        <v>18</v>
      </c>
      <c r="B23" s="60"/>
      <c r="C23" s="61"/>
      <c r="D23" s="62"/>
      <c r="E23" s="42"/>
      <c r="F23" s="43"/>
      <c r="G23" s="44">
        <f t="shared" si="0"/>
        <v>0</v>
      </c>
      <c r="H23" s="41"/>
      <c r="I23" s="42"/>
      <c r="J23" s="43"/>
      <c r="K23" s="44">
        <f t="shared" si="1"/>
        <v>0</v>
      </c>
      <c r="L23" s="46"/>
      <c r="M23" s="41"/>
      <c r="N23" s="63"/>
      <c r="O23" s="62"/>
    </row>
    <row r="24" spans="1:15" ht="20" customHeight="1" x14ac:dyDescent="0.45">
      <c r="A24" s="36">
        <v>19</v>
      </c>
      <c r="B24" s="60"/>
      <c r="C24" s="61"/>
      <c r="D24" s="62"/>
      <c r="E24" s="42"/>
      <c r="F24" s="43"/>
      <c r="G24" s="44">
        <f t="shared" si="0"/>
        <v>0</v>
      </c>
      <c r="H24" s="41"/>
      <c r="I24" s="42"/>
      <c r="J24" s="43"/>
      <c r="K24" s="44">
        <f t="shared" si="1"/>
        <v>0</v>
      </c>
      <c r="L24" s="46"/>
      <c r="M24" s="41"/>
      <c r="N24" s="63"/>
      <c r="O24" s="62"/>
    </row>
    <row r="25" spans="1:15" ht="20" customHeight="1" x14ac:dyDescent="0.45">
      <c r="A25" s="36">
        <v>20</v>
      </c>
      <c r="B25" s="60"/>
      <c r="C25" s="61"/>
      <c r="D25" s="62"/>
      <c r="E25" s="42"/>
      <c r="F25" s="43"/>
      <c r="G25" s="44">
        <f t="shared" si="0"/>
        <v>0</v>
      </c>
      <c r="H25" s="41"/>
      <c r="I25" s="42"/>
      <c r="J25" s="43"/>
      <c r="K25" s="44">
        <f t="shared" si="1"/>
        <v>0</v>
      </c>
      <c r="L25" s="46"/>
      <c r="M25" s="41"/>
      <c r="N25" s="63"/>
      <c r="O25" s="62"/>
    </row>
    <row r="26" spans="1:15" ht="22" customHeight="1" x14ac:dyDescent="0.45">
      <c r="A26" s="33"/>
      <c r="B26" s="68" t="s">
        <v>58</v>
      </c>
      <c r="C26" s="69"/>
      <c r="D26" s="70"/>
      <c r="E26" s="12">
        <f>SUM(E6:E25)</f>
        <v>0</v>
      </c>
      <c r="F26" s="13">
        <f>SUM(F6:F25)</f>
        <v>0</v>
      </c>
      <c r="G26" s="14">
        <f t="shared" si="0"/>
        <v>0</v>
      </c>
      <c r="H26" s="11"/>
      <c r="I26" s="12">
        <f>SUM(I6:I25)</f>
        <v>0</v>
      </c>
      <c r="J26" s="13">
        <f>SUM(J6:J25)</f>
        <v>0</v>
      </c>
      <c r="K26" s="14">
        <f t="shared" si="1"/>
        <v>0</v>
      </c>
      <c r="L26" s="14">
        <f>G26+K26</f>
        <v>0</v>
      </c>
      <c r="M26" s="11"/>
      <c r="N26" s="14">
        <f>SUM(N6:N25)</f>
        <v>0</v>
      </c>
      <c r="O26" s="15"/>
    </row>
    <row r="27" spans="1:15" ht="20" customHeight="1" x14ac:dyDescent="0.45">
      <c r="A27" s="34"/>
      <c r="B27" s="16"/>
      <c r="C27" s="16"/>
      <c r="D27" s="16"/>
      <c r="E27" s="17"/>
      <c r="F27" s="18"/>
      <c r="G27" s="19"/>
      <c r="H27" s="16"/>
      <c r="I27" s="20">
        <f>E26+I26</f>
        <v>0</v>
      </c>
      <c r="J27" s="21">
        <f>F26+J26</f>
        <v>0</v>
      </c>
      <c r="K27" s="19"/>
      <c r="L27" s="22">
        <f>K28/30</f>
        <v>0</v>
      </c>
      <c r="M27" s="16"/>
      <c r="N27" s="19"/>
      <c r="O27" s="23"/>
    </row>
    <row r="28" spans="1:15" ht="20" customHeight="1" x14ac:dyDescent="0.45">
      <c r="A28" s="34"/>
      <c r="B28" s="16"/>
      <c r="C28" s="16"/>
      <c r="D28" s="16"/>
      <c r="E28" s="17"/>
      <c r="F28" s="18"/>
      <c r="G28" s="19"/>
      <c r="H28" s="16"/>
      <c r="I28" s="20">
        <f>'6월29일'!I28+I27</f>
        <v>0</v>
      </c>
      <c r="J28" s="21">
        <f>'6월29일'!J28+J27</f>
        <v>0</v>
      </c>
      <c r="K28" s="22">
        <f>'6월29일'!K28+L26</f>
        <v>0</v>
      </c>
      <c r="L28" s="64">
        <f>'6월29일'!L28+L26</f>
        <v>0</v>
      </c>
      <c r="M28" s="62"/>
      <c r="N28" s="19"/>
      <c r="O28" s="24">
        <f>'6월29일'!O28+N26</f>
        <v>0</v>
      </c>
    </row>
    <row r="29" spans="1:15" ht="20" customHeight="1" x14ac:dyDescent="0.45">
      <c r="A29" s="35"/>
      <c r="B29" s="25"/>
      <c r="C29" s="25"/>
      <c r="D29" s="25"/>
      <c r="E29" s="26"/>
      <c r="F29" s="27"/>
      <c r="G29" s="28"/>
      <c r="H29" s="25"/>
      <c r="I29" s="29" t="e">
        <f>I28/K28</f>
        <v>#DIV/0!</v>
      </c>
      <c r="J29" s="27"/>
      <c r="K29" s="28"/>
      <c r="L29" s="28"/>
      <c r="M29" s="25"/>
      <c r="N29" s="28"/>
      <c r="O29" s="30"/>
    </row>
  </sheetData>
  <mergeCells count="45">
    <mergeCell ref="A1:O3"/>
    <mergeCell ref="B12:D12"/>
    <mergeCell ref="N6:O6"/>
    <mergeCell ref="N24:O24"/>
    <mergeCell ref="B22:D22"/>
    <mergeCell ref="B18:D18"/>
    <mergeCell ref="B21:D21"/>
    <mergeCell ref="N5:O5"/>
    <mergeCell ref="N23:O23"/>
    <mergeCell ref="B6:D6"/>
    <mergeCell ref="B24:D24"/>
    <mergeCell ref="N8:O8"/>
    <mergeCell ref="N14:O14"/>
    <mergeCell ref="B20:D20"/>
    <mergeCell ref="N17:O17"/>
    <mergeCell ref="B5:D5"/>
    <mergeCell ref="N10:O10"/>
    <mergeCell ref="N19:O19"/>
    <mergeCell ref="B7:D7"/>
    <mergeCell ref="N13:O13"/>
    <mergeCell ref="B16:D16"/>
    <mergeCell ref="N9:O9"/>
    <mergeCell ref="N15:O15"/>
    <mergeCell ref="L28:M28"/>
    <mergeCell ref="N22:O22"/>
    <mergeCell ref="B10:D10"/>
    <mergeCell ref="B19:D19"/>
    <mergeCell ref="N21:O21"/>
    <mergeCell ref="N12:O12"/>
    <mergeCell ref="N18:O18"/>
    <mergeCell ref="B15:D15"/>
    <mergeCell ref="B26:D26"/>
    <mergeCell ref="B25:D25"/>
    <mergeCell ref="N7:O7"/>
    <mergeCell ref="B8:D8"/>
    <mergeCell ref="N16:O16"/>
    <mergeCell ref="B17:D17"/>
    <mergeCell ref="N25:O25"/>
    <mergeCell ref="B13:D13"/>
    <mergeCell ref="B9:D9"/>
    <mergeCell ref="B11:D11"/>
    <mergeCell ref="B14:D14"/>
    <mergeCell ref="N11:O11"/>
    <mergeCell ref="N20:O20"/>
    <mergeCell ref="B23:D23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6월 종합</vt:lpstr>
      <vt:lpstr>6월1일</vt:lpstr>
      <vt:lpstr>6월2일</vt:lpstr>
      <vt:lpstr>6월3일</vt:lpstr>
      <vt:lpstr>6월4일</vt:lpstr>
      <vt:lpstr>6월5일</vt:lpstr>
      <vt:lpstr>6월6일</vt:lpstr>
      <vt:lpstr>6월7일</vt:lpstr>
      <vt:lpstr>6월8일</vt:lpstr>
      <vt:lpstr>6월9일</vt:lpstr>
      <vt:lpstr>6월10일</vt:lpstr>
      <vt:lpstr>6월11일</vt:lpstr>
      <vt:lpstr>6월12일</vt:lpstr>
      <vt:lpstr>6월13일</vt:lpstr>
      <vt:lpstr>6월14일</vt:lpstr>
      <vt:lpstr>6월15일</vt:lpstr>
      <vt:lpstr>6월16일</vt:lpstr>
      <vt:lpstr>6월17일</vt:lpstr>
      <vt:lpstr>6월18일</vt:lpstr>
      <vt:lpstr>6월19일</vt:lpstr>
      <vt:lpstr>6월20일</vt:lpstr>
      <vt:lpstr>6월21일</vt:lpstr>
      <vt:lpstr>6월22일</vt:lpstr>
      <vt:lpstr>6월23일</vt:lpstr>
      <vt:lpstr>6월24일</vt:lpstr>
      <vt:lpstr>6월25일</vt:lpstr>
      <vt:lpstr>6월26일</vt:lpstr>
      <vt:lpstr>6월27일</vt:lpstr>
      <vt:lpstr>6월28일</vt:lpstr>
      <vt:lpstr>6월29일</vt:lpstr>
      <vt:lpstr>6월30일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e30274</cp:lastModifiedBy>
  <dcterms:created xsi:type="dcterms:W3CDTF">2026-05-30T06:37:23Z</dcterms:created>
  <dcterms:modified xsi:type="dcterms:W3CDTF">2026-05-30T07:38:18Z</dcterms:modified>
</cp:coreProperties>
</file>