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dee\OneDrive\바탕 화면\"/>
    </mc:Choice>
  </mc:AlternateContent>
  <xr:revisionPtr revIDLastSave="0" documentId="13_ncr:1_{13691E15-1458-4060-884E-E18C868BE629}" xr6:coauthVersionLast="47" xr6:coauthVersionMax="47" xr10:uidLastSave="{00000000-0000-0000-0000-000000000000}"/>
  <bookViews>
    <workbookView xWindow="17150" yWindow="20" windowWidth="20860" windowHeight="20860" xr2:uid="{00000000-000D-0000-FFFF-FFFF00000000}"/>
  </bookViews>
  <sheets>
    <sheet name="5월 종합" sheetId="1" r:id="rId1"/>
    <sheet name="5월1일" sheetId="2" r:id="rId2"/>
    <sheet name="5월2일" sheetId="3" r:id="rId3"/>
    <sheet name="5월3일" sheetId="4" r:id="rId4"/>
    <sheet name="5월4일" sheetId="5" r:id="rId5"/>
    <sheet name="5월5일" sheetId="6" r:id="rId6"/>
    <sheet name="5월6일" sheetId="7" r:id="rId7"/>
    <sheet name="5월7일" sheetId="8" r:id="rId8"/>
    <sheet name="5월8일" sheetId="9" r:id="rId9"/>
    <sheet name="5월9일" sheetId="10" r:id="rId10"/>
    <sheet name="5월10일" sheetId="11" r:id="rId11"/>
    <sheet name="5월11일" sheetId="12" r:id="rId12"/>
    <sheet name="5월12일" sheetId="13" r:id="rId13"/>
    <sheet name="5월13일" sheetId="14" r:id="rId14"/>
    <sheet name="5월14일" sheetId="15" r:id="rId15"/>
    <sheet name="5월15일" sheetId="16" r:id="rId16"/>
    <sheet name="5월16일" sheetId="17" r:id="rId17"/>
    <sheet name="5월17일" sheetId="18" r:id="rId18"/>
    <sheet name="5월18일" sheetId="19" r:id="rId19"/>
    <sheet name="5월19일" sheetId="20" r:id="rId20"/>
    <sheet name="5월20일" sheetId="21" r:id="rId21"/>
    <sheet name="5월21일" sheetId="22" r:id="rId22"/>
    <sheet name="5월22일" sheetId="23" r:id="rId23"/>
    <sheet name="5월23일" sheetId="24" r:id="rId24"/>
    <sheet name="5월24일" sheetId="25" r:id="rId25"/>
    <sheet name="5월25일" sheetId="26" r:id="rId26"/>
    <sheet name="5월26일" sheetId="27" r:id="rId27"/>
    <sheet name="5월27일" sheetId="28" r:id="rId28"/>
    <sheet name="5월28일" sheetId="29" r:id="rId29"/>
    <sheet name="5월29일" sheetId="30" r:id="rId30"/>
    <sheet name="5월30일" sheetId="31" r:id="rId31"/>
    <sheet name="5월31일" sheetId="32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32" l="1"/>
  <c r="J26" i="32"/>
  <c r="K26" i="32" s="1"/>
  <c r="I26" i="32"/>
  <c r="G26" i="32"/>
  <c r="L26" i="32" s="1"/>
  <c r="D36" i="1" s="1"/>
  <c r="F26" i="32"/>
  <c r="J27" i="32" s="1"/>
  <c r="C36" i="1" s="1"/>
  <c r="E26" i="32"/>
  <c r="I27" i="32" s="1"/>
  <c r="B36" i="1" s="1"/>
  <c r="K25" i="32"/>
  <c r="G25" i="32"/>
  <c r="K24" i="32"/>
  <c r="G24" i="32"/>
  <c r="K23" i="32"/>
  <c r="G23" i="32"/>
  <c r="K22" i="32"/>
  <c r="G22" i="32"/>
  <c r="K21" i="32"/>
  <c r="G21" i="32"/>
  <c r="K20" i="32"/>
  <c r="G20" i="32"/>
  <c r="K19" i="32"/>
  <c r="G19" i="32"/>
  <c r="K18" i="32"/>
  <c r="G18" i="32"/>
  <c r="K17" i="32"/>
  <c r="G17" i="32"/>
  <c r="K16" i="32"/>
  <c r="G16" i="32"/>
  <c r="K15" i="32"/>
  <c r="G15" i="32"/>
  <c r="K14" i="32"/>
  <c r="G14" i="32"/>
  <c r="K13" i="32"/>
  <c r="G13" i="32"/>
  <c r="K12" i="32"/>
  <c r="G12" i="32"/>
  <c r="K11" i="32"/>
  <c r="G11" i="32"/>
  <c r="K10" i="32"/>
  <c r="G10" i="32"/>
  <c r="K9" i="32"/>
  <c r="G9" i="32"/>
  <c r="K8" i="32"/>
  <c r="G8" i="32"/>
  <c r="K7" i="32"/>
  <c r="G7" i="32"/>
  <c r="K6" i="32"/>
  <c r="G6" i="32"/>
  <c r="N26" i="31"/>
  <c r="K26" i="31"/>
  <c r="J26" i="31"/>
  <c r="J27" i="31" s="1"/>
  <c r="C35" i="1" s="1"/>
  <c r="I26" i="31"/>
  <c r="F26" i="31"/>
  <c r="E26" i="31"/>
  <c r="I27" i="31" s="1"/>
  <c r="B35" i="1" s="1"/>
  <c r="K25" i="31"/>
  <c r="G25" i="31"/>
  <c r="K24" i="31"/>
  <c r="G24" i="31"/>
  <c r="K23" i="31"/>
  <c r="G23" i="31"/>
  <c r="K22" i="31"/>
  <c r="G22" i="31"/>
  <c r="K21" i="31"/>
  <c r="G21" i="31"/>
  <c r="K20" i="31"/>
  <c r="G20" i="31"/>
  <c r="K19" i="31"/>
  <c r="G19" i="31"/>
  <c r="K18" i="31"/>
  <c r="G18" i="31"/>
  <c r="K17" i="31"/>
  <c r="G17" i="31"/>
  <c r="K16" i="31"/>
  <c r="G16" i="31"/>
  <c r="K15" i="31"/>
  <c r="G15" i="31"/>
  <c r="K14" i="31"/>
  <c r="G14" i="31"/>
  <c r="K13" i="31"/>
  <c r="G13" i="31"/>
  <c r="K12" i="31"/>
  <c r="G12" i="31"/>
  <c r="K11" i="31"/>
  <c r="G11" i="31"/>
  <c r="K10" i="31"/>
  <c r="G10" i="31"/>
  <c r="K9" i="31"/>
  <c r="G9" i="31"/>
  <c r="K8" i="31"/>
  <c r="G8" i="31"/>
  <c r="K7" i="31"/>
  <c r="G7" i="31"/>
  <c r="K6" i="31"/>
  <c r="G6" i="31"/>
  <c r="N26" i="30"/>
  <c r="J26" i="30"/>
  <c r="I26" i="30"/>
  <c r="K26" i="30" s="1"/>
  <c r="L26" i="30" s="1"/>
  <c r="D34" i="1" s="1"/>
  <c r="G26" i="30"/>
  <c r="F26" i="30"/>
  <c r="J27" i="30" s="1"/>
  <c r="C34" i="1" s="1"/>
  <c r="E26" i="30"/>
  <c r="I27" i="30" s="1"/>
  <c r="B34" i="1" s="1"/>
  <c r="K25" i="30"/>
  <c r="G25" i="30"/>
  <c r="K24" i="30"/>
  <c r="G24" i="30"/>
  <c r="K23" i="30"/>
  <c r="G23" i="30"/>
  <c r="K22" i="30"/>
  <c r="G22" i="30"/>
  <c r="K21" i="30"/>
  <c r="G21" i="30"/>
  <c r="K20" i="30"/>
  <c r="G20" i="30"/>
  <c r="K19" i="30"/>
  <c r="G19" i="30"/>
  <c r="K18" i="30"/>
  <c r="G18" i="30"/>
  <c r="K17" i="30"/>
  <c r="G17" i="30"/>
  <c r="K16" i="30"/>
  <c r="G16" i="30"/>
  <c r="K15" i="30"/>
  <c r="G15" i="30"/>
  <c r="K14" i="30"/>
  <c r="G14" i="30"/>
  <c r="K13" i="30"/>
  <c r="G13" i="30"/>
  <c r="K12" i="30"/>
  <c r="G12" i="30"/>
  <c r="K11" i="30"/>
  <c r="G11" i="30"/>
  <c r="K10" i="30"/>
  <c r="G10" i="30"/>
  <c r="K9" i="30"/>
  <c r="G9" i="30"/>
  <c r="K8" i="30"/>
  <c r="G8" i="30"/>
  <c r="K7" i="30"/>
  <c r="G7" i="30"/>
  <c r="K6" i="30"/>
  <c r="G6" i="30"/>
  <c r="I27" i="29"/>
  <c r="N26" i="29"/>
  <c r="J26" i="29"/>
  <c r="J27" i="29" s="1"/>
  <c r="C33" i="1" s="1"/>
  <c r="I26" i="29"/>
  <c r="K26" i="29" s="1"/>
  <c r="F26" i="29"/>
  <c r="E26" i="29"/>
  <c r="G26" i="29" s="1"/>
  <c r="K25" i="29"/>
  <c r="G25" i="29"/>
  <c r="K24" i="29"/>
  <c r="G24" i="29"/>
  <c r="K23" i="29"/>
  <c r="G23" i="29"/>
  <c r="K22" i="29"/>
  <c r="G22" i="29"/>
  <c r="K21" i="29"/>
  <c r="G21" i="29"/>
  <c r="K20" i="29"/>
  <c r="G20" i="29"/>
  <c r="K19" i="29"/>
  <c r="G19" i="29"/>
  <c r="K18" i="29"/>
  <c r="G18" i="29"/>
  <c r="K17" i="29"/>
  <c r="G17" i="29"/>
  <c r="K16" i="29"/>
  <c r="G16" i="29"/>
  <c r="K15" i="29"/>
  <c r="G15" i="29"/>
  <c r="K14" i="29"/>
  <c r="G14" i="29"/>
  <c r="K13" i="29"/>
  <c r="G13" i="29"/>
  <c r="K12" i="29"/>
  <c r="G12" i="29"/>
  <c r="K11" i="29"/>
  <c r="G11" i="29"/>
  <c r="K10" i="29"/>
  <c r="G10" i="29"/>
  <c r="K9" i="29"/>
  <c r="G9" i="29"/>
  <c r="K8" i="29"/>
  <c r="G8" i="29"/>
  <c r="K7" i="29"/>
  <c r="G7" i="29"/>
  <c r="K6" i="29"/>
  <c r="G6" i="29"/>
  <c r="N26" i="28"/>
  <c r="K26" i="28"/>
  <c r="J26" i="28"/>
  <c r="I26" i="28"/>
  <c r="F26" i="28"/>
  <c r="J27" i="28" s="1"/>
  <c r="C32" i="1" s="1"/>
  <c r="E26" i="28"/>
  <c r="G26" i="28" s="1"/>
  <c r="L26" i="28" s="1"/>
  <c r="D32" i="1" s="1"/>
  <c r="K25" i="28"/>
  <c r="G25" i="28"/>
  <c r="K24" i="28"/>
  <c r="G24" i="28"/>
  <c r="K23" i="28"/>
  <c r="G23" i="28"/>
  <c r="K22" i="28"/>
  <c r="G22" i="28"/>
  <c r="K21" i="28"/>
  <c r="G21" i="28"/>
  <c r="K20" i="28"/>
  <c r="G20" i="28"/>
  <c r="K19" i="28"/>
  <c r="G19" i="28"/>
  <c r="K18" i="28"/>
  <c r="G18" i="28"/>
  <c r="K17" i="28"/>
  <c r="G17" i="28"/>
  <c r="K16" i="28"/>
  <c r="G16" i="28"/>
  <c r="K15" i="28"/>
  <c r="G15" i="28"/>
  <c r="K14" i="28"/>
  <c r="G14" i="28"/>
  <c r="K13" i="28"/>
  <c r="G13" i="28"/>
  <c r="K12" i="28"/>
  <c r="G12" i="28"/>
  <c r="K11" i="28"/>
  <c r="G11" i="28"/>
  <c r="K10" i="28"/>
  <c r="G10" i="28"/>
  <c r="K9" i="28"/>
  <c r="G9" i="28"/>
  <c r="K8" i="28"/>
  <c r="G8" i="28"/>
  <c r="K7" i="28"/>
  <c r="G7" i="28"/>
  <c r="K6" i="28"/>
  <c r="G6" i="28"/>
  <c r="J27" i="27"/>
  <c r="I27" i="27"/>
  <c r="N26" i="27"/>
  <c r="K26" i="27"/>
  <c r="J26" i="27"/>
  <c r="I26" i="27"/>
  <c r="F26" i="27"/>
  <c r="G26" i="27" s="1"/>
  <c r="L26" i="27" s="1"/>
  <c r="D31" i="1" s="1"/>
  <c r="E26" i="27"/>
  <c r="K25" i="27"/>
  <c r="G25" i="27"/>
  <c r="K24" i="27"/>
  <c r="G24" i="27"/>
  <c r="K23" i="27"/>
  <c r="G23" i="27"/>
  <c r="K22" i="27"/>
  <c r="G22" i="27"/>
  <c r="K21" i="27"/>
  <c r="G21" i="27"/>
  <c r="K20" i="27"/>
  <c r="G20" i="27"/>
  <c r="K19" i="27"/>
  <c r="G19" i="27"/>
  <c r="K18" i="27"/>
  <c r="G18" i="27"/>
  <c r="K17" i="27"/>
  <c r="G17" i="27"/>
  <c r="K16" i="27"/>
  <c r="G16" i="27"/>
  <c r="K15" i="27"/>
  <c r="G15" i="27"/>
  <c r="K14" i="27"/>
  <c r="G14" i="27"/>
  <c r="K13" i="27"/>
  <c r="G13" i="27"/>
  <c r="K12" i="27"/>
  <c r="G12" i="27"/>
  <c r="K11" i="27"/>
  <c r="G11" i="27"/>
  <c r="K10" i="27"/>
  <c r="G10" i="27"/>
  <c r="K9" i="27"/>
  <c r="G9" i="27"/>
  <c r="K8" i="27"/>
  <c r="G8" i="27"/>
  <c r="K7" i="27"/>
  <c r="G7" i="27"/>
  <c r="K6" i="27"/>
  <c r="G6" i="27"/>
  <c r="I27" i="26"/>
  <c r="B30" i="1" s="1"/>
  <c r="N26" i="26"/>
  <c r="J26" i="26"/>
  <c r="I26" i="26"/>
  <c r="K26" i="26" s="1"/>
  <c r="G26" i="26"/>
  <c r="F26" i="26"/>
  <c r="J27" i="26" s="1"/>
  <c r="C30" i="1" s="1"/>
  <c r="E26" i="26"/>
  <c r="K25" i="26"/>
  <c r="G25" i="26"/>
  <c r="K24" i="26"/>
  <c r="G24" i="26"/>
  <c r="K23" i="26"/>
  <c r="G23" i="26"/>
  <c r="K22" i="26"/>
  <c r="G22" i="26"/>
  <c r="K21" i="26"/>
  <c r="G21" i="26"/>
  <c r="K20" i="26"/>
  <c r="G20" i="26"/>
  <c r="K19" i="26"/>
  <c r="G19" i="26"/>
  <c r="K18" i="26"/>
  <c r="G18" i="26"/>
  <c r="K17" i="26"/>
  <c r="G17" i="26"/>
  <c r="K16" i="26"/>
  <c r="G16" i="26"/>
  <c r="K15" i="26"/>
  <c r="G15" i="26"/>
  <c r="K14" i="26"/>
  <c r="G14" i="26"/>
  <c r="K13" i="26"/>
  <c r="G13" i="26"/>
  <c r="K12" i="26"/>
  <c r="G12" i="26"/>
  <c r="K11" i="26"/>
  <c r="G11" i="26"/>
  <c r="K10" i="26"/>
  <c r="G10" i="26"/>
  <c r="K9" i="26"/>
  <c r="G9" i="26"/>
  <c r="K8" i="26"/>
  <c r="G8" i="26"/>
  <c r="K7" i="26"/>
  <c r="G7" i="26"/>
  <c r="K6" i="26"/>
  <c r="G6" i="26"/>
  <c r="N26" i="25"/>
  <c r="J26" i="25"/>
  <c r="I26" i="25"/>
  <c r="K26" i="25" s="1"/>
  <c r="F26" i="25"/>
  <c r="J27" i="25" s="1"/>
  <c r="C29" i="1" s="1"/>
  <c r="E26" i="25"/>
  <c r="I27" i="25" s="1"/>
  <c r="B29" i="1" s="1"/>
  <c r="K25" i="25"/>
  <c r="G25" i="25"/>
  <c r="K24" i="25"/>
  <c r="G24" i="25"/>
  <c r="K23" i="25"/>
  <c r="G23" i="25"/>
  <c r="K22" i="25"/>
  <c r="G22" i="25"/>
  <c r="K21" i="25"/>
  <c r="G21" i="25"/>
  <c r="K20" i="25"/>
  <c r="G20" i="25"/>
  <c r="K19" i="25"/>
  <c r="G19" i="25"/>
  <c r="K18" i="25"/>
  <c r="G18" i="25"/>
  <c r="K17" i="25"/>
  <c r="G17" i="25"/>
  <c r="K16" i="25"/>
  <c r="G16" i="25"/>
  <c r="K15" i="25"/>
  <c r="G15" i="25"/>
  <c r="K14" i="25"/>
  <c r="G14" i="25"/>
  <c r="K13" i="25"/>
  <c r="G13" i="25"/>
  <c r="K12" i="25"/>
  <c r="G12" i="25"/>
  <c r="K11" i="25"/>
  <c r="G11" i="25"/>
  <c r="K10" i="25"/>
  <c r="G10" i="25"/>
  <c r="K9" i="25"/>
  <c r="G9" i="25"/>
  <c r="K8" i="25"/>
  <c r="G8" i="25"/>
  <c r="K7" i="25"/>
  <c r="G7" i="25"/>
  <c r="K6" i="25"/>
  <c r="G6" i="25"/>
  <c r="J27" i="24"/>
  <c r="N26" i="24"/>
  <c r="J26" i="24"/>
  <c r="I26" i="24"/>
  <c r="I27" i="24" s="1"/>
  <c r="B28" i="1" s="1"/>
  <c r="F26" i="24"/>
  <c r="G26" i="24" s="1"/>
  <c r="E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N26" i="23"/>
  <c r="J26" i="23"/>
  <c r="I26" i="23"/>
  <c r="K26" i="23" s="1"/>
  <c r="G26" i="23"/>
  <c r="F26" i="23"/>
  <c r="J27" i="23" s="1"/>
  <c r="C27" i="1" s="1"/>
  <c r="E26" i="23"/>
  <c r="I27" i="23" s="1"/>
  <c r="B27" i="1" s="1"/>
  <c r="K25" i="23"/>
  <c r="G25" i="23"/>
  <c r="K24" i="23"/>
  <c r="G24" i="23"/>
  <c r="K23" i="23"/>
  <c r="G23" i="23"/>
  <c r="K22" i="23"/>
  <c r="G22" i="23"/>
  <c r="K21" i="23"/>
  <c r="G21" i="23"/>
  <c r="K20" i="23"/>
  <c r="G20" i="23"/>
  <c r="K19" i="23"/>
  <c r="G19" i="23"/>
  <c r="K18" i="23"/>
  <c r="G18" i="23"/>
  <c r="K17" i="23"/>
  <c r="G17" i="23"/>
  <c r="K16" i="23"/>
  <c r="G16" i="23"/>
  <c r="K15" i="23"/>
  <c r="G15" i="23"/>
  <c r="K14" i="23"/>
  <c r="G14" i="23"/>
  <c r="K13" i="23"/>
  <c r="G13" i="23"/>
  <c r="K12" i="23"/>
  <c r="G12" i="23"/>
  <c r="K11" i="23"/>
  <c r="G11" i="23"/>
  <c r="K10" i="23"/>
  <c r="G10" i="23"/>
  <c r="K9" i="23"/>
  <c r="G9" i="23"/>
  <c r="K8" i="23"/>
  <c r="G8" i="23"/>
  <c r="K7" i="23"/>
  <c r="G7" i="23"/>
  <c r="K6" i="23"/>
  <c r="G6" i="23"/>
  <c r="N26" i="22"/>
  <c r="K26" i="22"/>
  <c r="J26" i="22"/>
  <c r="I26" i="22"/>
  <c r="I27" i="22" s="1"/>
  <c r="B26" i="1" s="1"/>
  <c r="F26" i="22"/>
  <c r="J27" i="22" s="1"/>
  <c r="C26" i="1" s="1"/>
  <c r="E26" i="22"/>
  <c r="K25" i="22"/>
  <c r="G25" i="22"/>
  <c r="K24" i="22"/>
  <c r="G24" i="22"/>
  <c r="K23" i="22"/>
  <c r="G23" i="22"/>
  <c r="K22" i="22"/>
  <c r="G22" i="22"/>
  <c r="K21" i="22"/>
  <c r="G21" i="22"/>
  <c r="K20" i="22"/>
  <c r="G20" i="22"/>
  <c r="K19" i="22"/>
  <c r="G19" i="22"/>
  <c r="K18" i="22"/>
  <c r="G18" i="22"/>
  <c r="K17" i="22"/>
  <c r="G17" i="22"/>
  <c r="K16" i="22"/>
  <c r="G16" i="22"/>
  <c r="K15" i="22"/>
  <c r="G15" i="22"/>
  <c r="K14" i="22"/>
  <c r="G14" i="22"/>
  <c r="K13" i="22"/>
  <c r="G13" i="22"/>
  <c r="K12" i="22"/>
  <c r="G12" i="22"/>
  <c r="K11" i="22"/>
  <c r="G11" i="22"/>
  <c r="K10" i="22"/>
  <c r="G10" i="22"/>
  <c r="K9" i="22"/>
  <c r="G9" i="22"/>
  <c r="K8" i="22"/>
  <c r="G8" i="22"/>
  <c r="K7" i="22"/>
  <c r="G7" i="22"/>
  <c r="K6" i="22"/>
  <c r="G6" i="22"/>
  <c r="N26" i="21"/>
  <c r="K26" i="21"/>
  <c r="J26" i="21"/>
  <c r="I26" i="21"/>
  <c r="F26" i="21"/>
  <c r="J27" i="21" s="1"/>
  <c r="C25" i="1" s="1"/>
  <c r="E26" i="21"/>
  <c r="G26" i="21" s="1"/>
  <c r="L26" i="21" s="1"/>
  <c r="D25" i="1" s="1"/>
  <c r="K25" i="21"/>
  <c r="G25" i="21"/>
  <c r="K24" i="21"/>
  <c r="G24" i="21"/>
  <c r="K23" i="21"/>
  <c r="G23" i="21"/>
  <c r="K22" i="21"/>
  <c r="G22" i="21"/>
  <c r="K21" i="21"/>
  <c r="G21" i="21"/>
  <c r="K20" i="21"/>
  <c r="G20" i="21"/>
  <c r="K19" i="21"/>
  <c r="G19" i="21"/>
  <c r="K18" i="21"/>
  <c r="G18" i="21"/>
  <c r="K17" i="21"/>
  <c r="G17" i="21"/>
  <c r="K16" i="21"/>
  <c r="G16" i="21"/>
  <c r="K15" i="21"/>
  <c r="G15" i="21"/>
  <c r="K14" i="21"/>
  <c r="G14" i="21"/>
  <c r="K13" i="21"/>
  <c r="G13" i="21"/>
  <c r="K12" i="21"/>
  <c r="G12" i="21"/>
  <c r="K11" i="21"/>
  <c r="G11" i="21"/>
  <c r="K10" i="21"/>
  <c r="G10" i="21"/>
  <c r="K9" i="21"/>
  <c r="G9" i="21"/>
  <c r="K8" i="21"/>
  <c r="G8" i="21"/>
  <c r="K7" i="21"/>
  <c r="G7" i="21"/>
  <c r="K6" i="21"/>
  <c r="G6" i="21"/>
  <c r="J27" i="20"/>
  <c r="N26" i="20"/>
  <c r="K26" i="20"/>
  <c r="J26" i="20"/>
  <c r="I26" i="20"/>
  <c r="F26" i="20"/>
  <c r="E26" i="20"/>
  <c r="I27" i="20" s="1"/>
  <c r="B24" i="1" s="1"/>
  <c r="K25" i="20"/>
  <c r="G25" i="20"/>
  <c r="K24" i="20"/>
  <c r="G24" i="20"/>
  <c r="K23" i="20"/>
  <c r="G23" i="20"/>
  <c r="K22" i="20"/>
  <c r="G22" i="20"/>
  <c r="K21" i="20"/>
  <c r="G21" i="20"/>
  <c r="K20" i="20"/>
  <c r="G20" i="20"/>
  <c r="K19" i="20"/>
  <c r="G19" i="20"/>
  <c r="K18" i="20"/>
  <c r="G18" i="20"/>
  <c r="K17" i="20"/>
  <c r="G17" i="20"/>
  <c r="K16" i="20"/>
  <c r="G16" i="20"/>
  <c r="K15" i="20"/>
  <c r="G15" i="20"/>
  <c r="K14" i="20"/>
  <c r="G14" i="20"/>
  <c r="K13" i="20"/>
  <c r="G13" i="20"/>
  <c r="K12" i="20"/>
  <c r="G12" i="20"/>
  <c r="K11" i="20"/>
  <c r="G11" i="20"/>
  <c r="K10" i="20"/>
  <c r="G10" i="20"/>
  <c r="K9" i="20"/>
  <c r="G9" i="20"/>
  <c r="K8" i="20"/>
  <c r="G8" i="20"/>
  <c r="K7" i="20"/>
  <c r="G7" i="20"/>
  <c r="K6" i="20"/>
  <c r="G6" i="20"/>
  <c r="N26" i="19"/>
  <c r="K26" i="19"/>
  <c r="J26" i="19"/>
  <c r="I26" i="19"/>
  <c r="F26" i="19"/>
  <c r="J27" i="19" s="1"/>
  <c r="C23" i="1" s="1"/>
  <c r="E26" i="19"/>
  <c r="G26" i="19" s="1"/>
  <c r="L26" i="19" s="1"/>
  <c r="D23" i="1" s="1"/>
  <c r="K25" i="19"/>
  <c r="G25" i="19"/>
  <c r="K24" i="19"/>
  <c r="G24" i="19"/>
  <c r="K23" i="19"/>
  <c r="G23" i="19"/>
  <c r="K22" i="19"/>
  <c r="G22" i="19"/>
  <c r="K21" i="19"/>
  <c r="G21" i="19"/>
  <c r="K20" i="19"/>
  <c r="G20" i="19"/>
  <c r="K19" i="19"/>
  <c r="G19" i="19"/>
  <c r="K18" i="19"/>
  <c r="G18" i="19"/>
  <c r="K17" i="19"/>
  <c r="G17" i="19"/>
  <c r="K16" i="19"/>
  <c r="G16" i="19"/>
  <c r="K15" i="19"/>
  <c r="G15" i="19"/>
  <c r="K14" i="19"/>
  <c r="G14" i="19"/>
  <c r="K13" i="19"/>
  <c r="G13" i="19"/>
  <c r="K12" i="19"/>
  <c r="G12" i="19"/>
  <c r="K11" i="19"/>
  <c r="G11" i="19"/>
  <c r="K10" i="19"/>
  <c r="G10" i="19"/>
  <c r="K9" i="19"/>
  <c r="G9" i="19"/>
  <c r="K8" i="19"/>
  <c r="G8" i="19"/>
  <c r="K7" i="19"/>
  <c r="G7" i="19"/>
  <c r="K6" i="19"/>
  <c r="G6" i="19"/>
  <c r="J27" i="18"/>
  <c r="C22" i="1" s="1"/>
  <c r="N26" i="18"/>
  <c r="J26" i="18"/>
  <c r="I26" i="18"/>
  <c r="K26" i="18" s="1"/>
  <c r="F26" i="18"/>
  <c r="E26" i="18"/>
  <c r="I27" i="18" s="1"/>
  <c r="B22" i="1" s="1"/>
  <c r="K25" i="18"/>
  <c r="G25" i="18"/>
  <c r="K24" i="18"/>
  <c r="G24" i="18"/>
  <c r="K23" i="18"/>
  <c r="G23" i="18"/>
  <c r="K22" i="18"/>
  <c r="G22" i="18"/>
  <c r="K21" i="18"/>
  <c r="G21" i="18"/>
  <c r="K20" i="18"/>
  <c r="G20" i="18"/>
  <c r="K19" i="18"/>
  <c r="G19" i="18"/>
  <c r="K18" i="18"/>
  <c r="G18" i="18"/>
  <c r="K17" i="18"/>
  <c r="G17" i="18"/>
  <c r="K16" i="18"/>
  <c r="G16" i="18"/>
  <c r="K15" i="18"/>
  <c r="G15" i="18"/>
  <c r="K14" i="18"/>
  <c r="G14" i="18"/>
  <c r="K13" i="18"/>
  <c r="G13" i="18"/>
  <c r="K12" i="18"/>
  <c r="G12" i="18"/>
  <c r="K11" i="18"/>
  <c r="G11" i="18"/>
  <c r="K10" i="18"/>
  <c r="G10" i="18"/>
  <c r="K9" i="18"/>
  <c r="G9" i="18"/>
  <c r="K8" i="18"/>
  <c r="G8" i="18"/>
  <c r="K7" i="18"/>
  <c r="G7" i="18"/>
  <c r="K6" i="18"/>
  <c r="G6" i="18"/>
  <c r="J27" i="17"/>
  <c r="C21" i="1" s="1"/>
  <c r="I27" i="17"/>
  <c r="B21" i="1" s="1"/>
  <c r="N26" i="17"/>
  <c r="J26" i="17"/>
  <c r="I26" i="17"/>
  <c r="K26" i="17" s="1"/>
  <c r="G26" i="17"/>
  <c r="L26" i="17" s="1"/>
  <c r="D21" i="1" s="1"/>
  <c r="F26" i="17"/>
  <c r="E26" i="17"/>
  <c r="K25" i="17"/>
  <c r="G25" i="17"/>
  <c r="K24" i="17"/>
  <c r="G24" i="17"/>
  <c r="K23" i="17"/>
  <c r="G23" i="17"/>
  <c r="K22" i="17"/>
  <c r="G22" i="17"/>
  <c r="K21" i="17"/>
  <c r="G21" i="17"/>
  <c r="K20" i="17"/>
  <c r="G20" i="17"/>
  <c r="K19" i="17"/>
  <c r="G19" i="17"/>
  <c r="K18" i="17"/>
  <c r="G18" i="17"/>
  <c r="K17" i="17"/>
  <c r="G17" i="17"/>
  <c r="K16" i="17"/>
  <c r="G16" i="17"/>
  <c r="K15" i="17"/>
  <c r="G15" i="17"/>
  <c r="K14" i="17"/>
  <c r="G14" i="17"/>
  <c r="K13" i="17"/>
  <c r="G13" i="17"/>
  <c r="K12" i="17"/>
  <c r="G12" i="17"/>
  <c r="K11" i="17"/>
  <c r="G11" i="17"/>
  <c r="K10" i="17"/>
  <c r="G10" i="17"/>
  <c r="K9" i="17"/>
  <c r="G9" i="17"/>
  <c r="K8" i="17"/>
  <c r="G8" i="17"/>
  <c r="K7" i="17"/>
  <c r="G7" i="17"/>
  <c r="K6" i="17"/>
  <c r="G6" i="17"/>
  <c r="N26" i="16"/>
  <c r="J26" i="16"/>
  <c r="K26" i="16" s="1"/>
  <c r="I26" i="16"/>
  <c r="G26" i="16"/>
  <c r="L26" i="16" s="1"/>
  <c r="D20" i="1" s="1"/>
  <c r="F26" i="16"/>
  <c r="J27" i="16" s="1"/>
  <c r="C20" i="1" s="1"/>
  <c r="E26" i="16"/>
  <c r="I27" i="16" s="1"/>
  <c r="B20" i="1" s="1"/>
  <c r="K25" i="16"/>
  <c r="G25" i="16"/>
  <c r="K24" i="16"/>
  <c r="G24" i="16"/>
  <c r="K23" i="16"/>
  <c r="G23" i="16"/>
  <c r="K22" i="16"/>
  <c r="G22" i="16"/>
  <c r="K21" i="16"/>
  <c r="G21" i="16"/>
  <c r="K20" i="16"/>
  <c r="G20" i="16"/>
  <c r="K19" i="16"/>
  <c r="G19" i="16"/>
  <c r="K18" i="16"/>
  <c r="G18" i="16"/>
  <c r="K17" i="16"/>
  <c r="G17" i="16"/>
  <c r="K16" i="16"/>
  <c r="G16" i="16"/>
  <c r="K15" i="16"/>
  <c r="G15" i="16"/>
  <c r="K14" i="16"/>
  <c r="G14" i="16"/>
  <c r="K13" i="16"/>
  <c r="G13" i="16"/>
  <c r="K12" i="16"/>
  <c r="G12" i="16"/>
  <c r="K11" i="16"/>
  <c r="G11" i="16"/>
  <c r="K10" i="16"/>
  <c r="G10" i="16"/>
  <c r="K9" i="16"/>
  <c r="G9" i="16"/>
  <c r="K8" i="16"/>
  <c r="G8" i="16"/>
  <c r="K7" i="16"/>
  <c r="G7" i="16"/>
  <c r="K6" i="16"/>
  <c r="G6" i="16"/>
  <c r="N26" i="15"/>
  <c r="J26" i="15"/>
  <c r="J27" i="15" s="1"/>
  <c r="C19" i="1" s="1"/>
  <c r="I26" i="15"/>
  <c r="I27" i="15" s="1"/>
  <c r="B19" i="1" s="1"/>
  <c r="G26" i="15"/>
  <c r="F26" i="15"/>
  <c r="E26" i="15"/>
  <c r="K25" i="15"/>
  <c r="G25" i="15"/>
  <c r="K24" i="15"/>
  <c r="G24" i="15"/>
  <c r="K23" i="15"/>
  <c r="G23" i="15"/>
  <c r="K22" i="15"/>
  <c r="G22" i="15"/>
  <c r="K21" i="15"/>
  <c r="G21" i="15"/>
  <c r="K20" i="15"/>
  <c r="G20" i="15"/>
  <c r="K19" i="15"/>
  <c r="G19" i="15"/>
  <c r="K18" i="15"/>
  <c r="G18" i="15"/>
  <c r="K17" i="15"/>
  <c r="G17" i="15"/>
  <c r="K16" i="15"/>
  <c r="G16" i="15"/>
  <c r="K15" i="15"/>
  <c r="G15" i="15"/>
  <c r="K14" i="15"/>
  <c r="G14" i="15"/>
  <c r="K13" i="15"/>
  <c r="G13" i="15"/>
  <c r="K12" i="15"/>
  <c r="G12" i="15"/>
  <c r="K11" i="15"/>
  <c r="G11" i="15"/>
  <c r="K10" i="15"/>
  <c r="G10" i="15"/>
  <c r="K9" i="15"/>
  <c r="G9" i="15"/>
  <c r="K8" i="15"/>
  <c r="G8" i="15"/>
  <c r="K7" i="15"/>
  <c r="G7" i="15"/>
  <c r="K6" i="15"/>
  <c r="G6" i="15"/>
  <c r="N26" i="14"/>
  <c r="J26" i="14"/>
  <c r="I26" i="14"/>
  <c r="K26" i="14" s="1"/>
  <c r="L26" i="14" s="1"/>
  <c r="D18" i="1" s="1"/>
  <c r="G26" i="14"/>
  <c r="F26" i="14"/>
  <c r="J27" i="14" s="1"/>
  <c r="C18" i="1" s="1"/>
  <c r="E26" i="14"/>
  <c r="I27" i="14" s="1"/>
  <c r="B18" i="1" s="1"/>
  <c r="K25" i="14"/>
  <c r="G25" i="14"/>
  <c r="K24" i="14"/>
  <c r="G24" i="14"/>
  <c r="K23" i="14"/>
  <c r="G23" i="14"/>
  <c r="K22" i="14"/>
  <c r="G22" i="14"/>
  <c r="K21" i="14"/>
  <c r="G21" i="14"/>
  <c r="K20" i="14"/>
  <c r="G20" i="14"/>
  <c r="K19" i="14"/>
  <c r="G19" i="14"/>
  <c r="K18" i="14"/>
  <c r="G18" i="14"/>
  <c r="K17" i="14"/>
  <c r="G17" i="14"/>
  <c r="K16" i="14"/>
  <c r="G16" i="14"/>
  <c r="K15" i="14"/>
  <c r="G15" i="14"/>
  <c r="K14" i="14"/>
  <c r="G14" i="14"/>
  <c r="K13" i="14"/>
  <c r="G13" i="14"/>
  <c r="K12" i="14"/>
  <c r="G12" i="14"/>
  <c r="K11" i="14"/>
  <c r="G11" i="14"/>
  <c r="K10" i="14"/>
  <c r="G10" i="14"/>
  <c r="K9" i="14"/>
  <c r="G9" i="14"/>
  <c r="K8" i="14"/>
  <c r="G8" i="14"/>
  <c r="K7" i="14"/>
  <c r="G7" i="14"/>
  <c r="K6" i="14"/>
  <c r="G6" i="14"/>
  <c r="I27" i="13"/>
  <c r="N26" i="13"/>
  <c r="J26" i="13"/>
  <c r="J27" i="13" s="1"/>
  <c r="C17" i="1" s="1"/>
  <c r="I26" i="13"/>
  <c r="F26" i="13"/>
  <c r="E26" i="13"/>
  <c r="G26" i="13" s="1"/>
  <c r="K25" i="13"/>
  <c r="G25" i="13"/>
  <c r="K24" i="13"/>
  <c r="G24" i="13"/>
  <c r="K23" i="13"/>
  <c r="G23" i="13"/>
  <c r="K22" i="13"/>
  <c r="G22" i="13"/>
  <c r="K21" i="13"/>
  <c r="G21" i="13"/>
  <c r="K20" i="13"/>
  <c r="G20" i="13"/>
  <c r="K19" i="13"/>
  <c r="G19" i="13"/>
  <c r="K18" i="13"/>
  <c r="G18" i="13"/>
  <c r="K17" i="13"/>
  <c r="G17" i="13"/>
  <c r="K16" i="13"/>
  <c r="G16" i="13"/>
  <c r="K15" i="13"/>
  <c r="G15" i="13"/>
  <c r="K14" i="13"/>
  <c r="G14" i="13"/>
  <c r="K13" i="13"/>
  <c r="G13" i="13"/>
  <c r="K12" i="13"/>
  <c r="G12" i="13"/>
  <c r="K11" i="13"/>
  <c r="G11" i="13"/>
  <c r="K10" i="13"/>
  <c r="G10" i="13"/>
  <c r="K9" i="13"/>
  <c r="G9" i="13"/>
  <c r="K8" i="13"/>
  <c r="G8" i="13"/>
  <c r="K7" i="13"/>
  <c r="G7" i="13"/>
  <c r="K6" i="13"/>
  <c r="G6" i="13"/>
  <c r="N26" i="12"/>
  <c r="K26" i="12"/>
  <c r="J26" i="12"/>
  <c r="I26" i="12"/>
  <c r="F26" i="12"/>
  <c r="J27" i="12" s="1"/>
  <c r="C16" i="1" s="1"/>
  <c r="E26" i="12"/>
  <c r="G26" i="12" s="1"/>
  <c r="L26" i="12" s="1"/>
  <c r="D16" i="1" s="1"/>
  <c r="K25" i="12"/>
  <c r="G25" i="12"/>
  <c r="K24" i="12"/>
  <c r="G24" i="12"/>
  <c r="K23" i="12"/>
  <c r="G23" i="12"/>
  <c r="K22" i="12"/>
  <c r="G22" i="12"/>
  <c r="K21" i="12"/>
  <c r="G21" i="12"/>
  <c r="K20" i="12"/>
  <c r="G20" i="12"/>
  <c r="K19" i="12"/>
  <c r="G19" i="12"/>
  <c r="K18" i="12"/>
  <c r="G18" i="12"/>
  <c r="K17" i="12"/>
  <c r="G17" i="12"/>
  <c r="K16" i="12"/>
  <c r="G16" i="12"/>
  <c r="K15" i="12"/>
  <c r="G15" i="12"/>
  <c r="K14" i="12"/>
  <c r="G14" i="12"/>
  <c r="K13" i="12"/>
  <c r="G13" i="12"/>
  <c r="K12" i="12"/>
  <c r="G12" i="12"/>
  <c r="K11" i="12"/>
  <c r="G11" i="12"/>
  <c r="K10" i="12"/>
  <c r="G10" i="12"/>
  <c r="K9" i="12"/>
  <c r="G9" i="12"/>
  <c r="K8" i="12"/>
  <c r="G8" i="12"/>
  <c r="K7" i="12"/>
  <c r="G7" i="12"/>
  <c r="K6" i="12"/>
  <c r="G6" i="12"/>
  <c r="J27" i="11"/>
  <c r="C15" i="1" s="1"/>
  <c r="I27" i="11"/>
  <c r="B15" i="1" s="1"/>
  <c r="N26" i="11"/>
  <c r="J26" i="11"/>
  <c r="I26" i="11"/>
  <c r="K26" i="11" s="1"/>
  <c r="F26" i="11"/>
  <c r="G26" i="11" s="1"/>
  <c r="L26" i="11" s="1"/>
  <c r="D15" i="1" s="1"/>
  <c r="E26" i="11"/>
  <c r="K25" i="11"/>
  <c r="G25" i="11"/>
  <c r="K24" i="11"/>
  <c r="G24" i="11"/>
  <c r="K23" i="11"/>
  <c r="G23" i="11"/>
  <c r="K22" i="11"/>
  <c r="G22" i="11"/>
  <c r="K21" i="11"/>
  <c r="G21" i="11"/>
  <c r="K20" i="11"/>
  <c r="G20" i="11"/>
  <c r="K19" i="11"/>
  <c r="G19" i="11"/>
  <c r="K18" i="11"/>
  <c r="G18" i="11"/>
  <c r="K17" i="11"/>
  <c r="G17" i="11"/>
  <c r="K16" i="11"/>
  <c r="G16" i="11"/>
  <c r="K15" i="11"/>
  <c r="G15" i="11"/>
  <c r="K14" i="11"/>
  <c r="G14" i="11"/>
  <c r="K13" i="11"/>
  <c r="G13" i="11"/>
  <c r="K12" i="11"/>
  <c r="G12" i="11"/>
  <c r="K11" i="11"/>
  <c r="G11" i="11"/>
  <c r="K10" i="11"/>
  <c r="G10" i="11"/>
  <c r="K9" i="11"/>
  <c r="G9" i="11"/>
  <c r="K8" i="11"/>
  <c r="G8" i="11"/>
  <c r="K7" i="11"/>
  <c r="G7" i="11"/>
  <c r="K6" i="11"/>
  <c r="G6" i="11"/>
  <c r="I27" i="10"/>
  <c r="B14" i="1" s="1"/>
  <c r="N26" i="10"/>
  <c r="J26" i="10"/>
  <c r="I26" i="10"/>
  <c r="K26" i="10" s="1"/>
  <c r="F26" i="10"/>
  <c r="G26" i="10" s="1"/>
  <c r="L26" i="10" s="1"/>
  <c r="D14" i="1" s="1"/>
  <c r="E26" i="10"/>
  <c r="K25" i="10"/>
  <c r="G25" i="10"/>
  <c r="K24" i="10"/>
  <c r="G24" i="10"/>
  <c r="K23" i="10"/>
  <c r="G23" i="10"/>
  <c r="K22" i="10"/>
  <c r="G22" i="10"/>
  <c r="K21" i="10"/>
  <c r="G21" i="10"/>
  <c r="K20" i="10"/>
  <c r="G20" i="10"/>
  <c r="K19" i="10"/>
  <c r="G19" i="10"/>
  <c r="K18" i="10"/>
  <c r="G18" i="10"/>
  <c r="K17" i="10"/>
  <c r="G17" i="10"/>
  <c r="K16" i="10"/>
  <c r="G16" i="10"/>
  <c r="K15" i="10"/>
  <c r="G15" i="10"/>
  <c r="K14" i="10"/>
  <c r="G14" i="10"/>
  <c r="K13" i="10"/>
  <c r="G13" i="10"/>
  <c r="K12" i="10"/>
  <c r="G12" i="10"/>
  <c r="K11" i="10"/>
  <c r="G11" i="10"/>
  <c r="K10" i="10"/>
  <c r="G10" i="10"/>
  <c r="K9" i="10"/>
  <c r="G9" i="10"/>
  <c r="K8" i="10"/>
  <c r="G8" i="10"/>
  <c r="K7" i="10"/>
  <c r="G7" i="10"/>
  <c r="K6" i="10"/>
  <c r="G6" i="10"/>
  <c r="N26" i="9"/>
  <c r="J26" i="9"/>
  <c r="I26" i="9"/>
  <c r="K26" i="9" s="1"/>
  <c r="F26" i="9"/>
  <c r="J27" i="9" s="1"/>
  <c r="C13" i="1" s="1"/>
  <c r="E26" i="9"/>
  <c r="I27" i="9" s="1"/>
  <c r="B13" i="1" s="1"/>
  <c r="K25" i="9"/>
  <c r="G25" i="9"/>
  <c r="K24" i="9"/>
  <c r="G24" i="9"/>
  <c r="K23" i="9"/>
  <c r="G23" i="9"/>
  <c r="K22" i="9"/>
  <c r="G22" i="9"/>
  <c r="K21" i="9"/>
  <c r="G21" i="9"/>
  <c r="K20" i="9"/>
  <c r="G20" i="9"/>
  <c r="K19" i="9"/>
  <c r="G19" i="9"/>
  <c r="K18" i="9"/>
  <c r="G18" i="9"/>
  <c r="K17" i="9"/>
  <c r="G17" i="9"/>
  <c r="K16" i="9"/>
  <c r="G16" i="9"/>
  <c r="K15" i="9"/>
  <c r="G15" i="9"/>
  <c r="K14" i="9"/>
  <c r="G14" i="9"/>
  <c r="K13" i="9"/>
  <c r="G13" i="9"/>
  <c r="K12" i="9"/>
  <c r="G12" i="9"/>
  <c r="K11" i="9"/>
  <c r="G11" i="9"/>
  <c r="K10" i="9"/>
  <c r="G10" i="9"/>
  <c r="K9" i="9"/>
  <c r="G9" i="9"/>
  <c r="K8" i="9"/>
  <c r="G8" i="9"/>
  <c r="K7" i="9"/>
  <c r="G7" i="9"/>
  <c r="K6" i="9"/>
  <c r="G6" i="9"/>
  <c r="J27" i="8"/>
  <c r="N26" i="8"/>
  <c r="J26" i="8"/>
  <c r="I26" i="8"/>
  <c r="I27" i="8" s="1"/>
  <c r="B12" i="1" s="1"/>
  <c r="F26" i="8"/>
  <c r="G26" i="8" s="1"/>
  <c r="E26" i="8"/>
  <c r="K25" i="8"/>
  <c r="G25" i="8"/>
  <c r="K24" i="8"/>
  <c r="G24" i="8"/>
  <c r="K23" i="8"/>
  <c r="G23" i="8"/>
  <c r="K22" i="8"/>
  <c r="G22" i="8"/>
  <c r="K21" i="8"/>
  <c r="G21" i="8"/>
  <c r="K20" i="8"/>
  <c r="G20" i="8"/>
  <c r="K19" i="8"/>
  <c r="G19" i="8"/>
  <c r="K18" i="8"/>
  <c r="G18" i="8"/>
  <c r="K17" i="8"/>
  <c r="G17" i="8"/>
  <c r="K16" i="8"/>
  <c r="G16" i="8"/>
  <c r="K15" i="8"/>
  <c r="G15" i="8"/>
  <c r="K14" i="8"/>
  <c r="G14" i="8"/>
  <c r="K13" i="8"/>
  <c r="G13" i="8"/>
  <c r="K12" i="8"/>
  <c r="G12" i="8"/>
  <c r="K11" i="8"/>
  <c r="G11" i="8"/>
  <c r="K10" i="8"/>
  <c r="G10" i="8"/>
  <c r="K9" i="8"/>
  <c r="G9" i="8"/>
  <c r="K8" i="8"/>
  <c r="G8" i="8"/>
  <c r="K7" i="8"/>
  <c r="G7" i="8"/>
  <c r="K6" i="8"/>
  <c r="G6" i="8"/>
  <c r="N32" i="7"/>
  <c r="J32" i="7"/>
  <c r="I32" i="7"/>
  <c r="K32" i="7" s="1"/>
  <c r="G32" i="7"/>
  <c r="L32" i="7" s="1"/>
  <c r="D11" i="1" s="1"/>
  <c r="F32" i="7"/>
  <c r="J33" i="7" s="1"/>
  <c r="C11" i="1" s="1"/>
  <c r="E32" i="7"/>
  <c r="I33" i="7" s="1"/>
  <c r="B11" i="1" s="1"/>
  <c r="K31" i="7"/>
  <c r="G31" i="7"/>
  <c r="K30" i="7"/>
  <c r="G30" i="7"/>
  <c r="K29" i="7"/>
  <c r="G29" i="7"/>
  <c r="K28" i="7"/>
  <c r="G28" i="7"/>
  <c r="K27" i="7"/>
  <c r="G27" i="7"/>
  <c r="K26" i="7"/>
  <c r="G26" i="7"/>
  <c r="K25" i="7"/>
  <c r="G25" i="7"/>
  <c r="K24" i="7"/>
  <c r="G24" i="7"/>
  <c r="K23" i="7"/>
  <c r="G23" i="7"/>
  <c r="K22" i="7"/>
  <c r="G22" i="7"/>
  <c r="K21" i="7"/>
  <c r="G21" i="7"/>
  <c r="K20" i="7"/>
  <c r="G20" i="7"/>
  <c r="K19" i="7"/>
  <c r="G19" i="7"/>
  <c r="K18" i="7"/>
  <c r="G18" i="7"/>
  <c r="K17" i="7"/>
  <c r="G17" i="7"/>
  <c r="K16" i="7"/>
  <c r="G16" i="7"/>
  <c r="K15" i="7"/>
  <c r="G15" i="7"/>
  <c r="K14" i="7"/>
  <c r="G14" i="7"/>
  <c r="K13" i="7"/>
  <c r="G13" i="7"/>
  <c r="K12" i="7"/>
  <c r="G12" i="7"/>
  <c r="K11" i="7"/>
  <c r="G11" i="7"/>
  <c r="K10" i="7"/>
  <c r="G10" i="7"/>
  <c r="K9" i="7"/>
  <c r="G9" i="7"/>
  <c r="K8" i="7"/>
  <c r="G8" i="7"/>
  <c r="K7" i="7"/>
  <c r="G7" i="7"/>
  <c r="K6" i="7"/>
  <c r="G6" i="7"/>
  <c r="I27" i="6"/>
  <c r="B10" i="1" s="1"/>
  <c r="N26" i="6"/>
  <c r="J26" i="6"/>
  <c r="I26" i="6"/>
  <c r="K26" i="6" s="1"/>
  <c r="F26" i="6"/>
  <c r="G26" i="6" s="1"/>
  <c r="L26" i="6" s="1"/>
  <c r="D10" i="1" s="1"/>
  <c r="E26" i="6"/>
  <c r="K25" i="6"/>
  <c r="G25" i="6"/>
  <c r="K24" i="6"/>
  <c r="G24" i="6"/>
  <c r="K23" i="6"/>
  <c r="G23" i="6"/>
  <c r="K22" i="6"/>
  <c r="G22" i="6"/>
  <c r="K21" i="6"/>
  <c r="G21" i="6"/>
  <c r="K20" i="6"/>
  <c r="G20" i="6"/>
  <c r="K19" i="6"/>
  <c r="G19" i="6"/>
  <c r="K18" i="6"/>
  <c r="G18" i="6"/>
  <c r="K17" i="6"/>
  <c r="G17" i="6"/>
  <c r="K16" i="6"/>
  <c r="G16" i="6"/>
  <c r="K15" i="6"/>
  <c r="G15" i="6"/>
  <c r="K14" i="6"/>
  <c r="G14" i="6"/>
  <c r="K13" i="6"/>
  <c r="G13" i="6"/>
  <c r="K12" i="6"/>
  <c r="G12" i="6"/>
  <c r="K11" i="6"/>
  <c r="G11" i="6"/>
  <c r="K10" i="6"/>
  <c r="G10" i="6"/>
  <c r="K9" i="6"/>
  <c r="G9" i="6"/>
  <c r="K8" i="6"/>
  <c r="G8" i="6"/>
  <c r="K7" i="6"/>
  <c r="G7" i="6"/>
  <c r="K6" i="6"/>
  <c r="G6" i="6"/>
  <c r="N26" i="5"/>
  <c r="J26" i="5"/>
  <c r="I26" i="5"/>
  <c r="K26" i="5" s="1"/>
  <c r="F26" i="5"/>
  <c r="J27" i="5" s="1"/>
  <c r="C9" i="1" s="1"/>
  <c r="E26" i="5"/>
  <c r="I27" i="5" s="1"/>
  <c r="B9" i="1" s="1"/>
  <c r="K25" i="5"/>
  <c r="G25" i="5"/>
  <c r="K24" i="5"/>
  <c r="G24" i="5"/>
  <c r="K23" i="5"/>
  <c r="G23" i="5"/>
  <c r="K22" i="5"/>
  <c r="G22" i="5"/>
  <c r="K21" i="5"/>
  <c r="G21" i="5"/>
  <c r="K20" i="5"/>
  <c r="G20" i="5"/>
  <c r="K19" i="5"/>
  <c r="G19" i="5"/>
  <c r="K18" i="5"/>
  <c r="G18" i="5"/>
  <c r="K17" i="5"/>
  <c r="G17" i="5"/>
  <c r="K16" i="5"/>
  <c r="G16" i="5"/>
  <c r="K15" i="5"/>
  <c r="G15" i="5"/>
  <c r="K14" i="5"/>
  <c r="G14" i="5"/>
  <c r="K13" i="5"/>
  <c r="G13" i="5"/>
  <c r="K12" i="5"/>
  <c r="G12" i="5"/>
  <c r="K11" i="5"/>
  <c r="G11" i="5"/>
  <c r="K10" i="5"/>
  <c r="G10" i="5"/>
  <c r="K9" i="5"/>
  <c r="G9" i="5"/>
  <c r="K8" i="5"/>
  <c r="G8" i="5"/>
  <c r="K7" i="5"/>
  <c r="G7" i="5"/>
  <c r="K6" i="5"/>
  <c r="G6" i="5"/>
  <c r="J27" i="4"/>
  <c r="C8" i="1" s="1"/>
  <c r="N26" i="4"/>
  <c r="J26" i="4"/>
  <c r="I26" i="4"/>
  <c r="I27" i="4" s="1"/>
  <c r="B8" i="1" s="1"/>
  <c r="F26" i="4"/>
  <c r="G26" i="4" s="1"/>
  <c r="E26" i="4"/>
  <c r="K25" i="4"/>
  <c r="G25" i="4"/>
  <c r="K24" i="4"/>
  <c r="G24" i="4"/>
  <c r="K23" i="4"/>
  <c r="G23" i="4"/>
  <c r="K22" i="4"/>
  <c r="G22" i="4"/>
  <c r="K21" i="4"/>
  <c r="G21" i="4"/>
  <c r="K20" i="4"/>
  <c r="G20" i="4"/>
  <c r="K19" i="4"/>
  <c r="G19" i="4"/>
  <c r="K18" i="4"/>
  <c r="G18" i="4"/>
  <c r="K17" i="4"/>
  <c r="G17" i="4"/>
  <c r="K16" i="4"/>
  <c r="G16" i="4"/>
  <c r="K15" i="4"/>
  <c r="G15" i="4"/>
  <c r="K14" i="4"/>
  <c r="G14" i="4"/>
  <c r="K13" i="4"/>
  <c r="G13" i="4"/>
  <c r="K12" i="4"/>
  <c r="G12" i="4"/>
  <c r="K11" i="4"/>
  <c r="G11" i="4"/>
  <c r="K10" i="4"/>
  <c r="G10" i="4"/>
  <c r="K9" i="4"/>
  <c r="G9" i="4"/>
  <c r="K8" i="4"/>
  <c r="G8" i="4"/>
  <c r="K7" i="4"/>
  <c r="G7" i="4"/>
  <c r="K6" i="4"/>
  <c r="G6" i="4"/>
  <c r="N26" i="3"/>
  <c r="J26" i="3"/>
  <c r="I26" i="3"/>
  <c r="K26" i="3" s="1"/>
  <c r="G26" i="3"/>
  <c r="F26" i="3"/>
  <c r="J27" i="3" s="1"/>
  <c r="C7" i="1" s="1"/>
  <c r="E26" i="3"/>
  <c r="I27" i="3" s="1"/>
  <c r="B7" i="1" s="1"/>
  <c r="K25" i="3"/>
  <c r="G25" i="3"/>
  <c r="K24" i="3"/>
  <c r="G24" i="3"/>
  <c r="K23" i="3"/>
  <c r="G23" i="3"/>
  <c r="K22" i="3"/>
  <c r="G22" i="3"/>
  <c r="K21" i="3"/>
  <c r="G21" i="3"/>
  <c r="K20" i="3"/>
  <c r="G20" i="3"/>
  <c r="K19" i="3"/>
  <c r="G19" i="3"/>
  <c r="K18" i="3"/>
  <c r="G18" i="3"/>
  <c r="K17" i="3"/>
  <c r="G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K6" i="3"/>
  <c r="G6" i="3"/>
  <c r="N26" i="2"/>
  <c r="O28" i="2" s="1"/>
  <c r="O28" i="3" s="1"/>
  <c r="O28" i="4" s="1"/>
  <c r="O28" i="5" s="1"/>
  <c r="O28" i="6" s="1"/>
  <c r="O34" i="7" s="1"/>
  <c r="O28" i="8" s="1"/>
  <c r="O28" i="9" s="1"/>
  <c r="O28" i="10" s="1"/>
  <c r="O28" i="11" s="1"/>
  <c r="O28" i="12" s="1"/>
  <c r="O28" i="13" s="1"/>
  <c r="O28" i="14" s="1"/>
  <c r="O28" i="15" s="1"/>
  <c r="O28" i="16" s="1"/>
  <c r="O28" i="17" s="1"/>
  <c r="O28" i="18" s="1"/>
  <c r="O28" i="19" s="1"/>
  <c r="O28" i="20" s="1"/>
  <c r="O28" i="21" s="1"/>
  <c r="O28" i="22" s="1"/>
  <c r="O28" i="23" s="1"/>
  <c r="O28" i="24" s="1"/>
  <c r="O28" i="25" s="1"/>
  <c r="O28" i="26" s="1"/>
  <c r="O28" i="27" s="1"/>
  <c r="O28" i="28" s="1"/>
  <c r="O28" i="29" s="1"/>
  <c r="O28" i="30" s="1"/>
  <c r="O28" i="31" s="1"/>
  <c r="O28" i="32" s="1"/>
  <c r="K26" i="2"/>
  <c r="J26" i="2"/>
  <c r="J27" i="2" s="1"/>
  <c r="I26" i="2"/>
  <c r="I27" i="2" s="1"/>
  <c r="F26" i="2"/>
  <c r="E26" i="2"/>
  <c r="G26" i="2" s="1"/>
  <c r="L26" i="2" s="1"/>
  <c r="K25" i="2"/>
  <c r="G25" i="2"/>
  <c r="K24" i="2"/>
  <c r="G24" i="2"/>
  <c r="K23" i="2"/>
  <c r="G23" i="2"/>
  <c r="K22" i="2"/>
  <c r="G22" i="2"/>
  <c r="K21" i="2"/>
  <c r="G21" i="2"/>
  <c r="K20" i="2"/>
  <c r="G20" i="2"/>
  <c r="K19" i="2"/>
  <c r="G19" i="2"/>
  <c r="K18" i="2"/>
  <c r="G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K6" i="2"/>
  <c r="G6" i="2"/>
  <c r="E36" i="1"/>
  <c r="E35" i="1"/>
  <c r="E34" i="1"/>
  <c r="E33" i="1"/>
  <c r="B33" i="1"/>
  <c r="E32" i="1"/>
  <c r="E31" i="1"/>
  <c r="C31" i="1"/>
  <c r="B31" i="1"/>
  <c r="E30" i="1"/>
  <c r="E29" i="1"/>
  <c r="N28" i="1"/>
  <c r="E28" i="1"/>
  <c r="C28" i="1"/>
  <c r="E27" i="1"/>
  <c r="E26" i="1"/>
  <c r="E25" i="1"/>
  <c r="E24" i="1"/>
  <c r="C24" i="1"/>
  <c r="E23" i="1"/>
  <c r="E22" i="1"/>
  <c r="E21" i="1"/>
  <c r="E20" i="1"/>
  <c r="E19" i="1"/>
  <c r="E18" i="1"/>
  <c r="E17" i="1"/>
  <c r="B17" i="1"/>
  <c r="E16" i="1"/>
  <c r="E15" i="1"/>
  <c r="E14" i="1"/>
  <c r="E13" i="1"/>
  <c r="E12" i="1"/>
  <c r="C12" i="1"/>
  <c r="E11" i="1"/>
  <c r="E10" i="1"/>
  <c r="E9" i="1"/>
  <c r="E8" i="1"/>
  <c r="E7" i="1"/>
  <c r="E6" i="1"/>
  <c r="G26" i="31" l="1"/>
  <c r="L26" i="31" s="1"/>
  <c r="D35" i="1" s="1"/>
  <c r="E37" i="1"/>
  <c r="L26" i="26"/>
  <c r="D30" i="1" s="1"/>
  <c r="D6" i="1"/>
  <c r="L28" i="2"/>
  <c r="L28" i="3" s="1"/>
  <c r="K28" i="2"/>
  <c r="L26" i="3"/>
  <c r="D7" i="1" s="1"/>
  <c r="B6" i="1"/>
  <c r="I28" i="2"/>
  <c r="J28" i="2"/>
  <c r="J28" i="3" s="1"/>
  <c r="J28" i="4" s="1"/>
  <c r="J28" i="5" s="1"/>
  <c r="J28" i="6" s="1"/>
  <c r="J34" i="7" s="1"/>
  <c r="J28" i="8" s="1"/>
  <c r="J28" i="9" s="1"/>
  <c r="J28" i="10" s="1"/>
  <c r="J28" i="11" s="1"/>
  <c r="J28" i="12" s="1"/>
  <c r="J28" i="13" s="1"/>
  <c r="J28" i="14" s="1"/>
  <c r="J28" i="15" s="1"/>
  <c r="J28" i="16" s="1"/>
  <c r="J28" i="17" s="1"/>
  <c r="J28" i="18" s="1"/>
  <c r="J28" i="19" s="1"/>
  <c r="J28" i="20" s="1"/>
  <c r="J28" i="21" s="1"/>
  <c r="J28" i="22" s="1"/>
  <c r="J28" i="23" s="1"/>
  <c r="J28" i="24" s="1"/>
  <c r="J28" i="25" s="1"/>
  <c r="J28" i="26" s="1"/>
  <c r="J28" i="27" s="1"/>
  <c r="J28" i="28" s="1"/>
  <c r="J28" i="29" s="1"/>
  <c r="J28" i="30" s="1"/>
  <c r="J28" i="31" s="1"/>
  <c r="J28" i="32" s="1"/>
  <c r="C6" i="1"/>
  <c r="L26" i="13"/>
  <c r="D17" i="1" s="1"/>
  <c r="L26" i="23"/>
  <c r="D27" i="1" s="1"/>
  <c r="L26" i="29"/>
  <c r="D33" i="1" s="1"/>
  <c r="G26" i="5"/>
  <c r="L26" i="5" s="1"/>
  <c r="D9" i="1" s="1"/>
  <c r="J27" i="6"/>
  <c r="C10" i="1" s="1"/>
  <c r="G26" i="9"/>
  <c r="L26" i="9" s="1"/>
  <c r="D13" i="1" s="1"/>
  <c r="J27" i="10"/>
  <c r="C14" i="1" s="1"/>
  <c r="I27" i="19"/>
  <c r="B23" i="1" s="1"/>
  <c r="G26" i="25"/>
  <c r="L26" i="25" s="1"/>
  <c r="D29" i="1" s="1"/>
  <c r="I27" i="12"/>
  <c r="B16" i="1" s="1"/>
  <c r="G26" i="18"/>
  <c r="L26" i="18" s="1"/>
  <c r="D22" i="1" s="1"/>
  <c r="I27" i="28"/>
  <c r="B32" i="1" s="1"/>
  <c r="I27" i="21"/>
  <c r="B25" i="1" s="1"/>
  <c r="G26" i="20"/>
  <c r="L26" i="20" s="1"/>
  <c r="D24" i="1" s="1"/>
  <c r="G26" i="22"/>
  <c r="L26" i="22" s="1"/>
  <c r="D26" i="1" s="1"/>
  <c r="K26" i="13"/>
  <c r="K26" i="15"/>
  <c r="L26" i="15" s="1"/>
  <c r="D19" i="1" s="1"/>
  <c r="K26" i="4"/>
  <c r="L26" i="4" s="1"/>
  <c r="D8" i="1" s="1"/>
  <c r="K26" i="8"/>
  <c r="L26" i="8" s="1"/>
  <c r="D12" i="1" s="1"/>
  <c r="K26" i="24"/>
  <c r="L26" i="24" s="1"/>
  <c r="D28" i="1" s="1"/>
  <c r="I28" i="3" l="1"/>
  <c r="I29" i="2"/>
  <c r="B37" i="1"/>
  <c r="C37" i="1"/>
  <c r="L27" i="2"/>
  <c r="K28" i="3"/>
  <c r="L28" i="4"/>
  <c r="L28" i="5" s="1"/>
  <c r="L28" i="6" s="1"/>
  <c r="L34" i="7" s="1"/>
  <c r="L28" i="8" s="1"/>
  <c r="L28" i="9" s="1"/>
  <c r="L28" i="10" s="1"/>
  <c r="L28" i="11" s="1"/>
  <c r="L28" i="12" s="1"/>
  <c r="L28" i="13" s="1"/>
  <c r="L28" i="14" s="1"/>
  <c r="L28" i="15" s="1"/>
  <c r="L28" i="16" s="1"/>
  <c r="L28" i="17" s="1"/>
  <c r="L28" i="18" s="1"/>
  <c r="L28" i="19" s="1"/>
  <c r="L28" i="20" s="1"/>
  <c r="L28" i="21" s="1"/>
  <c r="L28" i="22" s="1"/>
  <c r="L28" i="23" s="1"/>
  <c r="L28" i="24" s="1"/>
  <c r="L28" i="25" s="1"/>
  <c r="L28" i="26" s="1"/>
  <c r="L28" i="27" s="1"/>
  <c r="L28" i="28" s="1"/>
  <c r="L28" i="29" s="1"/>
  <c r="L28" i="30" s="1"/>
  <c r="L28" i="31" s="1"/>
  <c r="L28" i="32" s="1"/>
  <c r="D37" i="1"/>
  <c r="C39" i="1" l="1"/>
  <c r="D39" i="1"/>
  <c r="F38" i="1"/>
  <c r="L27" i="3"/>
  <c r="K28" i="4"/>
  <c r="B39" i="1"/>
  <c r="I29" i="3"/>
  <c r="I28" i="4"/>
  <c r="L27" i="4" l="1"/>
  <c r="K28" i="5"/>
  <c r="I28" i="5"/>
  <c r="I29" i="4"/>
  <c r="I29" i="5" l="1"/>
  <c r="I28" i="6"/>
  <c r="L27" i="5"/>
  <c r="K28" i="6"/>
  <c r="K34" i="7" l="1"/>
  <c r="L27" i="6"/>
  <c r="I34" i="7"/>
  <c r="I29" i="6"/>
  <c r="I35" i="7" l="1"/>
  <c r="I28" i="8"/>
  <c r="L33" i="7"/>
  <c r="K28" i="8"/>
  <c r="K28" i="9" l="1"/>
  <c r="L27" i="8"/>
  <c r="I28" i="9"/>
  <c r="I29" i="8"/>
  <c r="I28" i="10" l="1"/>
  <c r="I29" i="9"/>
  <c r="L27" i="9"/>
  <c r="K28" i="10"/>
  <c r="K28" i="11" l="1"/>
  <c r="L27" i="10"/>
  <c r="I28" i="11"/>
  <c r="I29" i="10"/>
  <c r="I28" i="12" l="1"/>
  <c r="I29" i="11"/>
  <c r="L27" i="11"/>
  <c r="K28" i="12"/>
  <c r="L27" i="12" l="1"/>
  <c r="K28" i="13"/>
  <c r="I28" i="13"/>
  <c r="I29" i="12"/>
  <c r="I28" i="14" l="1"/>
  <c r="I29" i="13"/>
  <c r="L27" i="13"/>
  <c r="K28" i="14"/>
  <c r="L27" i="14" l="1"/>
  <c r="K28" i="15"/>
  <c r="I29" i="14"/>
  <c r="I28" i="15"/>
  <c r="K28" i="16" l="1"/>
  <c r="L27" i="15"/>
  <c r="I28" i="16"/>
  <c r="I29" i="15"/>
  <c r="I29" i="16" l="1"/>
  <c r="I28" i="17"/>
  <c r="L27" i="16"/>
  <c r="K28" i="17"/>
  <c r="I28" i="18" l="1"/>
  <c r="I29" i="17"/>
  <c r="K28" i="18"/>
  <c r="L27" i="17"/>
  <c r="L27" i="18" l="1"/>
  <c r="K28" i="19"/>
  <c r="I28" i="19"/>
  <c r="I29" i="18"/>
  <c r="I28" i="20" l="1"/>
  <c r="I29" i="19"/>
  <c r="L27" i="19"/>
  <c r="K28" i="20"/>
  <c r="L27" i="20" l="1"/>
  <c r="K28" i="21"/>
  <c r="I28" i="21"/>
  <c r="I29" i="20"/>
  <c r="I29" i="21" l="1"/>
  <c r="I28" i="22"/>
  <c r="L27" i="21"/>
  <c r="K28" i="22"/>
  <c r="L27" i="22" l="1"/>
  <c r="K28" i="23"/>
  <c r="I28" i="23"/>
  <c r="I29" i="22"/>
  <c r="I29" i="23" l="1"/>
  <c r="I28" i="24"/>
  <c r="L27" i="23"/>
  <c r="K28" i="24"/>
  <c r="K28" i="25" l="1"/>
  <c r="L27" i="24"/>
  <c r="I28" i="25"/>
  <c r="I29" i="24"/>
  <c r="I28" i="26" l="1"/>
  <c r="I29" i="25"/>
  <c r="L27" i="25"/>
  <c r="K28" i="26"/>
  <c r="K28" i="27" l="1"/>
  <c r="L27" i="26"/>
  <c r="I28" i="27"/>
  <c r="I29" i="26"/>
  <c r="I28" i="28" l="1"/>
  <c r="I29" i="27"/>
  <c r="L27" i="27"/>
  <c r="K28" i="28"/>
  <c r="L27" i="28" l="1"/>
  <c r="K28" i="29"/>
  <c r="I28" i="29"/>
  <c r="I29" i="28"/>
  <c r="I28" i="30" l="1"/>
  <c r="I29" i="29"/>
  <c r="L27" i="29"/>
  <c r="K28" i="30"/>
  <c r="L27" i="30" l="1"/>
  <c r="K28" i="31"/>
  <c r="I29" i="30"/>
  <c r="I28" i="31"/>
  <c r="I28" i="32" l="1"/>
  <c r="I29" i="31"/>
  <c r="K28" i="32"/>
  <c r="L27" i="32" s="1"/>
  <c r="L27" i="31"/>
  <c r="I29" i="32" l="1"/>
</calcChain>
</file>

<file path=xl/sharedStrings.xml><?xml version="1.0" encoding="utf-8"?>
<sst xmlns="http://schemas.openxmlformats.org/spreadsheetml/2006/main" count="663" uniqueCount="259">
  <si>
    <t>📊 2026년 5월 매출 종합 대시보드</t>
  </si>
  <si>
    <t>날짜</t>
  </si>
  <si>
    <t>카드 매출 (KRW)</t>
  </si>
  <si>
    <t>현금 매출 (KRW)</t>
  </si>
  <si>
    <t>일일 총 합계 (KRW)</t>
  </si>
  <si>
    <t>고객수</t>
  </si>
  <si>
    <t>5월 1일</t>
  </si>
  <si>
    <t>5월 2일</t>
  </si>
  <si>
    <t>5월 3일</t>
  </si>
  <si>
    <t>5월 4일</t>
  </si>
  <si>
    <t>5월 5일</t>
  </si>
  <si>
    <t>5월 6일</t>
  </si>
  <si>
    <t>5월 7일</t>
  </si>
  <si>
    <t>5월 8일</t>
  </si>
  <si>
    <t>5월 9일</t>
  </si>
  <si>
    <t>5월 10일</t>
  </si>
  <si>
    <t>5월 11일</t>
  </si>
  <si>
    <t>5월 12일</t>
  </si>
  <si>
    <t>5월 13일</t>
  </si>
  <si>
    <t>5월 14일</t>
  </si>
  <si>
    <t>5월 15일</t>
  </si>
  <si>
    <t>5월 16일</t>
  </si>
  <si>
    <t>5월 17일</t>
  </si>
  <si>
    <t>5월 18일</t>
  </si>
  <si>
    <t>5월 19일</t>
  </si>
  <si>
    <t>5월 20일</t>
  </si>
  <si>
    <t>5월 21일</t>
  </si>
  <si>
    <t>5월 22일</t>
  </si>
  <si>
    <t>입대료</t>
  </si>
  <si>
    <t>전기세</t>
  </si>
  <si>
    <t>전화</t>
  </si>
  <si>
    <t>정수기</t>
  </si>
  <si>
    <t>택배비</t>
  </si>
  <si>
    <t>물건값</t>
  </si>
  <si>
    <t>기타(식대)</t>
  </si>
  <si>
    <t>비고</t>
  </si>
  <si>
    <t>합계</t>
  </si>
  <si>
    <t>5월 23일</t>
  </si>
  <si>
    <t>5월 24일</t>
  </si>
  <si>
    <t>5월 25일</t>
  </si>
  <si>
    <t>5월 26일</t>
  </si>
  <si>
    <t>5월 27일</t>
  </si>
  <si>
    <t>5월 28일</t>
  </si>
  <si>
    <t>5월 29일</t>
  </si>
  <si>
    <t>5월 30일</t>
  </si>
  <si>
    <t>5월 31일</t>
  </si>
  <si>
    <t>월 총 합계</t>
  </si>
  <si>
    <t>카드</t>
  </si>
  <si>
    <t>현금</t>
  </si>
  <si>
    <t>(05월)  일    일     매     출     일     지</t>
  </si>
  <si>
    <t>2026-05-01(금)</t>
  </si>
  <si>
    <t>No</t>
  </si>
  <si>
    <t>품          명</t>
  </si>
  <si>
    <t>카  드</t>
  </si>
  <si>
    <t>현  금</t>
  </si>
  <si>
    <t>합  계</t>
  </si>
  <si>
    <t>품   명</t>
  </si>
  <si>
    <t>일 합 계</t>
  </si>
  <si>
    <t>마  진</t>
  </si>
  <si>
    <t>제이디엑스티,김영주티,여라운드2</t>
  </si>
  <si>
    <t>김영주반팔,조르지오,청바지2</t>
  </si>
  <si>
    <t>합   계</t>
  </si>
  <si>
    <t>2026-05-02(토)</t>
  </si>
  <si>
    <t>망사조끼2</t>
  </si>
  <si>
    <t>김영주바람막이,JDX바람막이
김영주카라티,조르지오티,JDX카라티</t>
  </si>
  <si>
    <t>남바지3</t>
  </si>
  <si>
    <t>냉츄리닝</t>
  </si>
  <si>
    <t>슬레진져조끼2</t>
  </si>
  <si>
    <t>김영주티</t>
  </si>
  <si>
    <t>남청바지2,남바지2</t>
  </si>
  <si>
    <t>2026-05-03(일)</t>
  </si>
  <si>
    <t>라운드티3</t>
  </si>
  <si>
    <t>여브이넥,남조끼</t>
  </si>
  <si>
    <t>스프리스바람막이,색바랜청바지2</t>
  </si>
  <si>
    <t>김영주바지,JDX바지,김영주티2
JDX카라티</t>
  </si>
  <si>
    <t>망사조끼</t>
  </si>
  <si>
    <t>김영주반팔티</t>
  </si>
  <si>
    <t>청바지,여반목티</t>
  </si>
  <si>
    <t>조르지오여티,이원재여티2,이너
웨어,스프리스바람막이,남티
김영주남티,츄리닝2,토시</t>
  </si>
  <si>
    <t>2026-05-04(월)</t>
  </si>
  <si>
    <t>남카라티2</t>
  </si>
  <si>
    <t>남청바지</t>
  </si>
  <si>
    <t>2026-05-05(화)</t>
  </si>
  <si>
    <t>몸빼2</t>
  </si>
  <si>
    <t>냉츄리닝,색바랜바람막이</t>
  </si>
  <si>
    <t>남바지2,이원재카라티2</t>
  </si>
  <si>
    <t>양말2</t>
  </si>
  <si>
    <t>조르지오카라티,이너웨어</t>
  </si>
  <si>
    <t>남조끼,두건2</t>
  </si>
  <si>
    <t>2026-05-06(수)</t>
  </si>
  <si>
    <t>쟌바지,나이키라운드티</t>
  </si>
  <si>
    <t>JDX티,이원재티,여브이넥,김영주바지2,벨트</t>
  </si>
  <si>
    <t>남라운드티,토시</t>
  </si>
  <si>
    <t>2026-05-07(목)</t>
  </si>
  <si>
    <t>김영주바람막이</t>
  </si>
  <si>
    <t>색바랜베낭(소형),몸빼</t>
  </si>
  <si>
    <t>남바지</t>
  </si>
  <si>
    <t>청바지,남바지,나이키라운드티2
김영주바지</t>
  </si>
  <si>
    <t>2026-05-08(금)</t>
  </si>
  <si>
    <t>이원재 반팔</t>
  </si>
  <si>
    <t>긴팔3,양말2</t>
  </si>
  <si>
    <t>야크반팔</t>
  </si>
  <si>
    <t>티,반팔,바지,김영주반팔</t>
  </si>
  <si>
    <t>2026-05-09(토)</t>
  </si>
  <si>
    <t>데니스카라티</t>
  </si>
  <si>
    <t>벨트,김영주반팔티,조르지오긴티
몽피크바자,나이키츄리닝바지</t>
  </si>
  <si>
    <t>거미반바지,나이키라운드티</t>
  </si>
  <si>
    <t>김영주티,조르지오티</t>
  </si>
  <si>
    <t>밀리자켓,밀리바지,망사조끼(당근)</t>
  </si>
  <si>
    <t>2026-05-10(일)</t>
  </si>
  <si>
    <t>CP반팔티2,김영주카라키</t>
  </si>
  <si>
    <t>몸빼,엘르티,JDX체크바지2,JDX티</t>
  </si>
  <si>
    <t>JDX가을자켓</t>
  </si>
  <si>
    <t>색바랜청바지2,남긴티2</t>
  </si>
  <si>
    <t>KDX카라티,청바지2,여이너웨어</t>
  </si>
  <si>
    <t>2026-05-11(월)</t>
  </si>
  <si>
    <t>김영주카라티,모자,남바지</t>
  </si>
  <si>
    <t>남티3</t>
  </si>
  <si>
    <t>츄리닝</t>
  </si>
  <si>
    <t>남티2,츄리닝</t>
  </si>
  <si>
    <t>2026-05-12(화)</t>
  </si>
  <si>
    <t>건빵청바지</t>
  </si>
  <si>
    <t>엘르티,남티2,김영주조끼</t>
  </si>
  <si>
    <t>벨트2</t>
  </si>
  <si>
    <t>츄리닝2</t>
  </si>
  <si>
    <t>남긴티.몸빼</t>
  </si>
  <si>
    <t>츄리닝,인디안티,김영주티</t>
  </si>
  <si>
    <t>2026-05-13(수)</t>
  </si>
  <si>
    <t>조거건빵바지2,남티2,망사조끼
버팔로조끼</t>
  </si>
  <si>
    <t>인디안남방,청바지</t>
  </si>
  <si>
    <t>망사조끼2,남티2</t>
  </si>
  <si>
    <t>JDX여바람막이</t>
  </si>
  <si>
    <t>김영주브이조끼,김영주골프조끼</t>
  </si>
  <si>
    <t>김영주바지</t>
  </si>
  <si>
    <t>2026-05-14(목)</t>
  </si>
  <si>
    <t>조거건빵바지,등상모자</t>
  </si>
  <si>
    <t>앙말</t>
  </si>
  <si>
    <t>김영주긴티</t>
  </si>
  <si>
    <t>2026-05-15(금)</t>
  </si>
  <si>
    <t>몽피크 반바지</t>
  </si>
  <si>
    <t>팬티,나이키반팔2</t>
  </si>
  <si>
    <t>청바지,티,양말</t>
  </si>
  <si>
    <t>양말,여티2</t>
  </si>
  <si>
    <t>스피릿트 점퍼</t>
  </si>
  <si>
    <t>저 반팔2,기본바지1,김영주여티2남티2</t>
  </si>
  <si>
    <t>반바지,조끼,바지2,여티</t>
  </si>
  <si>
    <t>야크,김영주 자켓
5천3,바지2</t>
  </si>
  <si>
    <t>양말,카고흑색</t>
  </si>
  <si>
    <t>2026-05-16(토)</t>
  </si>
  <si>
    <t>청바지</t>
  </si>
  <si>
    <t>망사조끼2,토시5,청바지2</t>
  </si>
  <si>
    <t>조거건빵바지2,라운드반팔티3,망사
조끼2,토시3,워머2</t>
  </si>
  <si>
    <t>JDX카라티,김영주티</t>
  </si>
  <si>
    <t>김영주카라티2,빌트모아티,조끼</t>
  </si>
  <si>
    <t>김영주바지,JDX조끼,워머,마스크
모자,장갑,김영주여티,이원재여티,색바랜청바지,김영주여바지</t>
  </si>
  <si>
    <t>JDX여바지,골프여바지,김영주여티,조르지오여티,김영주조끼,워머,색바랜청바지</t>
  </si>
  <si>
    <t>망사조끼,남바지2,남티2</t>
  </si>
  <si>
    <t>김영주바지,컬버바지,JDX티,데니
스티,김영주티2,토시3</t>
  </si>
  <si>
    <t>브이넥2</t>
  </si>
  <si>
    <t>김영주 브이조끼</t>
  </si>
  <si>
    <t>2026-05-17(일)</t>
  </si>
  <si>
    <t>건빵조거,망사조끼</t>
  </si>
  <si>
    <t>김영주 바람막이</t>
  </si>
  <si>
    <t>김영주조끼,양말</t>
  </si>
  <si>
    <t>워머2,반바지</t>
  </si>
  <si>
    <t>가죽벨트,이너웨어</t>
  </si>
  <si>
    <t>색바랜바람막이</t>
  </si>
  <si>
    <t>츄리닝바지,이원재티,남티</t>
  </si>
  <si>
    <t>남바지2</t>
  </si>
  <si>
    <t>김영주여티2,몽크로스남티,남바지
남티</t>
  </si>
  <si>
    <t>여 이너웨어2</t>
  </si>
  <si>
    <t>반바지2,나이키라운드티</t>
  </si>
  <si>
    <t>2026-05-18(월)</t>
  </si>
  <si>
    <t>JDX카라티</t>
  </si>
  <si>
    <t>김영주브이넥조끼</t>
  </si>
  <si>
    <t>김영주여조끼,김영주남티</t>
  </si>
  <si>
    <t>라운드티2,모자,몸빼</t>
  </si>
  <si>
    <t>김영주바지,가죽벨트(열린공간)</t>
  </si>
  <si>
    <t>JDX골프조끼,김영주조끼</t>
  </si>
  <si>
    <t>2026-05-19(화)</t>
  </si>
  <si>
    <t>기본바지</t>
  </si>
  <si>
    <t>바지</t>
  </si>
  <si>
    <t>몸빼2,츄리닝</t>
  </si>
  <si>
    <t>2026-05-20(수)</t>
  </si>
  <si>
    <t>아이더티,야크티,디즈니바지</t>
  </si>
  <si>
    <t>여이너웨어3,이원재여티</t>
  </si>
  <si>
    <t>2026-05-21(목)</t>
  </si>
  <si>
    <t>JDX카라티,인디안남방</t>
  </si>
  <si>
    <t>남반팔</t>
  </si>
  <si>
    <t>조거건빵</t>
  </si>
  <si>
    <t>워머2</t>
  </si>
  <si>
    <t>데니스여티,아놀드여긴티</t>
  </si>
  <si>
    <t>김영주긴티,조르지오긴티,남티2
모자,JDX여바람막이</t>
  </si>
  <si>
    <t>트렁크팬티</t>
  </si>
  <si>
    <t>김영주긴티,남카라티</t>
  </si>
  <si>
    <t>2026-05-22(금)</t>
  </si>
  <si>
    <t>남티</t>
  </si>
  <si>
    <t>김영주남긴티3,몽크로스여티</t>
  </si>
  <si>
    <t>김영주바람막이,모자,슬레진져조끼
남반팔티2</t>
  </si>
  <si>
    <t>김영주여티</t>
  </si>
  <si>
    <t>건빵조거바지</t>
  </si>
  <si>
    <t>망사조끼8,남티3</t>
  </si>
  <si>
    <t>브이넥2,이원재이너웨어2</t>
  </si>
  <si>
    <t>2026-05-23(토)</t>
  </si>
  <si>
    <t>라운드티</t>
  </si>
  <si>
    <t>남긴티2,몸빼,조끼</t>
  </si>
  <si>
    <t>양말,망사조끼,반바지</t>
  </si>
  <si>
    <t>네쇼널티,김영주카라티,남티2</t>
  </si>
  <si>
    <t>2026-05-24(일)</t>
  </si>
  <si>
    <t>여 라운드티2</t>
  </si>
  <si>
    <t>츄리닝세트,7부반바지,JDX카라티
김영주여티2</t>
  </si>
  <si>
    <t>청남방</t>
  </si>
  <si>
    <t>조거건빵고무줄바지,냉츄리닝2,색바랜청바지</t>
  </si>
  <si>
    <t>조르지오반팔티,네쇼널라운드티,조르지오긴티,JDX반팔/긴팔,김영주고무줄반바지</t>
  </si>
  <si>
    <t>김영주바람막이,모자</t>
  </si>
  <si>
    <t>가죽벨트,브이넥,라운드긴티2,남바
지2,바지</t>
  </si>
  <si>
    <t>클랙잭티.조르지오카라티</t>
  </si>
  <si>
    <t>2026-05-25(월)</t>
  </si>
  <si>
    <t>남티2,팬티,런닝2</t>
  </si>
  <si>
    <t>조르지오티,몽크로스티,청바지</t>
  </si>
  <si>
    <t>2026-05-26(화)</t>
  </si>
  <si>
    <t>색바랜청바지</t>
  </si>
  <si>
    <t>모자,워머2</t>
  </si>
  <si>
    <t>몽크로스긴티.반장갑2</t>
  </si>
  <si>
    <t>가죽벨트,벨트,양말5</t>
  </si>
  <si>
    <t>조끼</t>
  </si>
  <si>
    <t>2026-05-27(수)</t>
  </si>
  <si>
    <t>김영주여긴티,이원재여반팔티,조르지오여반팔티</t>
  </si>
  <si>
    <t>벨트,바지</t>
  </si>
  <si>
    <t>라운드티2</t>
  </si>
  <si>
    <t>반팔티2</t>
  </si>
  <si>
    <t>라운드티,색바랜바람막이</t>
  </si>
  <si>
    <t>2026-05-28(목)</t>
  </si>
  <si>
    <t>반바지,쟌티2,에코카라티</t>
  </si>
  <si>
    <t>여라운드티2,여통바지2,김영주여티</t>
  </si>
  <si>
    <t>여이너웨어</t>
  </si>
  <si>
    <t>망사조끼,몸빼,냉장고바지</t>
  </si>
  <si>
    <t>이원재 이너웨어</t>
  </si>
  <si>
    <t>남카고바지2,라운드티2</t>
  </si>
  <si>
    <t>남팬티,야크티,남티</t>
  </si>
  <si>
    <t>거미반바지,여브이넥,여바지,벨트2</t>
  </si>
  <si>
    <t>2026-05-29(금)</t>
  </si>
  <si>
    <t>에코조거건빵바지,라운드긴티2</t>
  </si>
  <si>
    <t>2026-05-30(토)</t>
  </si>
  <si>
    <t>반팔2,긴팔2,조거바지</t>
  </si>
  <si>
    <t>벨트2,에버뉴 반바지</t>
  </si>
  <si>
    <t>2026-05-31(일)</t>
  </si>
  <si>
    <t>베낭,라운드티2,이원재조거바지
드로즈팬티2,모자2</t>
  </si>
  <si>
    <t>토시2</t>
  </si>
  <si>
    <t>모자</t>
  </si>
  <si>
    <t>남방</t>
  </si>
  <si>
    <t>조르지오티,김영주카라티,쟌바지</t>
  </si>
  <si>
    <t>교환차액(JDX/김영주티,바지)</t>
  </si>
  <si>
    <t>김영주카라긴티</t>
  </si>
  <si>
    <t>김영주조끼,반팔</t>
  </si>
  <si>
    <t>김영주바람막이,조르지오티</t>
  </si>
  <si>
    <t>냉감티2</t>
  </si>
  <si>
    <t>이원재조거,라운드긴티</t>
  </si>
  <si>
    <t>v넥 반팔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</si>
</sst>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0.0%"/>
    <numFmt numFmtId="178" formatCode="#,##0;\-#,##0;;"/>
    <numFmt numFmtId="179" formatCode="#,##0_ "/>
    <numFmt numFmtId="180" formatCode="#,##0.0_ "/>
  </numFmts>
  <fonts count="24" x14ac:knownFonts="1">
    <font>
      <sz val="11"/>
      <color theme="1"/>
      <name val="맑은 고딕"/>
      <family val="2"/>
      <scheme val="minor"/>
    </font>
    <font>
      <b/>
      <sz val="18"/>
      <color rgb="FF00000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rgb="FFFF0000"/>
      <name val="맑은 고딕"/>
      <family val="3"/>
      <charset val="129"/>
    </font>
    <font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메이플스토리"/>
      <family val="3"/>
      <charset val="129"/>
    </font>
    <font>
      <sz val="11"/>
      <color theme="1"/>
      <name val="메이플스토리"/>
      <family val="3"/>
      <charset val="129"/>
    </font>
    <font>
      <b/>
      <sz val="10"/>
      <color rgb="FF000000"/>
      <name val="메이플스토리"/>
      <family val="3"/>
      <charset val="129"/>
    </font>
    <font>
      <sz val="11"/>
      <color rgb="FF000000"/>
      <name val="메이플스토리"/>
      <family val="3"/>
      <charset val="129"/>
    </font>
    <font>
      <sz val="11"/>
      <color rgb="FFFF0000"/>
      <name val="메이플스토리"/>
      <family val="3"/>
      <charset val="129"/>
    </font>
    <font>
      <sz val="11"/>
      <color rgb="FF0000FF"/>
      <name val="메이플스토리"/>
      <family val="3"/>
      <charset val="129"/>
    </font>
    <font>
      <sz val="9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sz val="9"/>
      <color rgb="FF0000FF"/>
      <name val="맑은 고딕"/>
      <family val="3"/>
      <charset val="129"/>
    </font>
    <font>
      <sz val="11"/>
      <color theme="3" tint="0.39997558519241921"/>
      <name val="메이플스토리"/>
      <family val="3"/>
      <charset val="129"/>
    </font>
    <font>
      <b/>
      <sz val="11"/>
      <color theme="1"/>
      <name val="메이플스토리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46C0A"/>
        <bgColor rgb="FFE46C0A"/>
      </patternFill>
    </fill>
    <fill>
      <patternFill patternType="solid">
        <fgColor rgb="FFFDE9D9"/>
        <bgColor rgb="FFFDE9D9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medium">
        <color rgb="FFE46C0A"/>
      </left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 style="medium">
        <color rgb="FFE46C0A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E46C0A"/>
      </right>
      <top style="thin">
        <color rgb="FFD9D9D9"/>
      </top>
      <bottom style="thin">
        <color rgb="FFD9D9D9"/>
      </bottom>
      <diagonal/>
    </border>
    <border>
      <left style="medium">
        <color rgb="FFE46C0A"/>
      </left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 style="thin">
        <color rgb="FFD9D9D9"/>
      </left>
      <right style="medium">
        <color rgb="FFE46C0A"/>
      </right>
      <top style="thin">
        <color rgb="FF000000"/>
      </top>
      <bottom style="double">
        <color rgb="FF000000"/>
      </bottom>
      <diagonal/>
    </border>
    <border>
      <left style="medium">
        <color rgb="FFE46C0A"/>
      </left>
      <right style="thin">
        <color rgb="FFD9D9D9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medium">
        <color rgb="FFE46C0A"/>
      </right>
      <top style="thin">
        <color rgb="FFD9D9D9"/>
      </top>
      <bottom style="medium">
        <color rgb="FFE46C0A"/>
      </bottom>
      <diagonal/>
    </border>
    <border>
      <left style="thin">
        <color rgb="FFD9D9D9"/>
      </left>
      <right style="thin">
        <color rgb="FFD9D9D9"/>
      </right>
      <top style="medium">
        <color rgb="FFE46C0A"/>
      </top>
      <bottom style="medium">
        <color rgb="FFE46C0A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rgb="FFE46C0A"/>
      </top>
      <bottom style="thin">
        <color rgb="FFD9D9D9"/>
      </bottom>
      <diagonal/>
    </border>
    <border>
      <left/>
      <right/>
      <top style="medium">
        <color rgb="FFE46C0A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D9D9D9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1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5" fillId="0" borderId="4" xfId="0" applyNumberFormat="1" applyFont="1" applyBorder="1" applyAlignment="1">
      <alignment horizontal="right" vertical="center"/>
    </xf>
    <xf numFmtId="3" fontId="6" fillId="0" borderId="4" xfId="0" applyNumberFormat="1" applyFont="1" applyBorder="1" applyAlignment="1">
      <alignment horizontal="right" vertical="center"/>
    </xf>
    <xf numFmtId="3" fontId="4" fillId="0" borderId="4" xfId="0" applyNumberFormat="1" applyFont="1" applyBorder="1" applyAlignment="1">
      <alignment horizontal="right" vertical="center"/>
    </xf>
    <xf numFmtId="0" fontId="0" fillId="3" borderId="7" xfId="0" applyFill="1" applyBorder="1" applyAlignment="1">
      <alignment horizontal="center" vertical="center"/>
    </xf>
    <xf numFmtId="3" fontId="7" fillId="3" borderId="7" xfId="0" applyNumberFormat="1" applyFont="1" applyFill="1" applyBorder="1" applyAlignment="1">
      <alignment horizontal="right" vertical="center"/>
    </xf>
    <xf numFmtId="3" fontId="8" fillId="3" borderId="7" xfId="0" applyNumberFormat="1" applyFont="1" applyFill="1" applyBorder="1" applyAlignment="1">
      <alignment horizontal="right" vertical="center"/>
    </xf>
    <xf numFmtId="3" fontId="3" fillId="3" borderId="7" xfId="0" applyNumberFormat="1" applyFont="1" applyFill="1" applyBorder="1" applyAlignment="1">
      <alignment horizontal="right" vertical="center"/>
    </xf>
    <xf numFmtId="176" fontId="2" fillId="0" borderId="0" xfId="0" applyNumberFormat="1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right" vertical="center"/>
    </xf>
    <xf numFmtId="3" fontId="8" fillId="0" borderId="7" xfId="0" applyNumberFormat="1" applyFont="1" applyBorder="1" applyAlignment="1">
      <alignment horizontal="right" vertical="center"/>
    </xf>
    <xf numFmtId="3" fontId="3" fillId="0" borderId="7" xfId="0" applyNumberFormat="1" applyFont="1" applyBorder="1" applyAlignment="1">
      <alignment horizontal="right" vertical="center"/>
    </xf>
    <xf numFmtId="0" fontId="3" fillId="0" borderId="8" xfId="0" applyFont="1" applyBorder="1" applyAlignment="1">
      <alignment horizontal="right" vertical="center"/>
    </xf>
    <xf numFmtId="0" fontId="3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3" fillId="0" borderId="4" xfId="0" applyFont="1" applyBorder="1" applyAlignment="1">
      <alignment horizontal="right" vertical="center"/>
    </xf>
    <xf numFmtId="3" fontId="7" fillId="0" borderId="4" xfId="0" applyNumberFormat="1" applyFont="1" applyBorder="1" applyAlignment="1">
      <alignment horizontal="right" vertical="center"/>
    </xf>
    <xf numFmtId="3" fontId="8" fillId="0" borderId="4" xfId="0" applyNumberFormat="1" applyFont="1" applyBorder="1" applyAlignment="1">
      <alignment horizontal="right" vertical="center"/>
    </xf>
    <xf numFmtId="3" fontId="3" fillId="0" borderId="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right" vertical="center"/>
    </xf>
    <xf numFmtId="3" fontId="3" fillId="0" borderId="5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3" fillId="0" borderId="10" xfId="0" applyFont="1" applyBorder="1" applyAlignment="1">
      <alignment horizontal="right" vertical="center"/>
    </xf>
    <xf numFmtId="177" fontId="7" fillId="0" borderId="10" xfId="0" applyNumberFormat="1" applyFont="1" applyBorder="1" applyAlignment="1">
      <alignment horizontal="right" vertical="center"/>
    </xf>
    <xf numFmtId="0" fontId="3" fillId="0" borderId="11" xfId="0" applyFont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13" fillId="0" borderId="6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78" fontId="18" fillId="0" borderId="4" xfId="0" applyNumberFormat="1" applyFont="1" applyBorder="1" applyAlignment="1">
      <alignment horizontal="right" vertical="center"/>
    </xf>
    <xf numFmtId="178" fontId="19" fillId="0" borderId="4" xfId="0" applyNumberFormat="1" applyFont="1" applyBorder="1" applyAlignment="1">
      <alignment horizontal="right" vertical="center"/>
    </xf>
    <xf numFmtId="178" fontId="17" fillId="0" borderId="4" xfId="0" applyNumberFormat="1" applyFont="1" applyBorder="1" applyAlignment="1">
      <alignment horizontal="right" vertical="center"/>
    </xf>
    <xf numFmtId="0" fontId="17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177" fontId="0" fillId="0" borderId="0" xfId="0" applyNumberFormat="1"/>
    <xf numFmtId="0" fontId="21" fillId="6" borderId="0" xfId="0" applyFont="1" applyFill="1" applyAlignment="1">
      <alignment horizontal="center"/>
    </xf>
    <xf numFmtId="179" fontId="0" fillId="0" borderId="0" xfId="0" applyNumberFormat="1"/>
    <xf numFmtId="3" fontId="22" fillId="7" borderId="0" xfId="0" applyNumberFormat="1" applyFont="1" applyFill="1" applyAlignment="1">
      <alignment horizontal="center" vertical="center"/>
    </xf>
    <xf numFmtId="177" fontId="15" fillId="8" borderId="0" xfId="0" applyNumberFormat="1" applyFont="1" applyFill="1"/>
    <xf numFmtId="177" fontId="20" fillId="8" borderId="0" xfId="0" applyNumberFormat="1" applyFont="1" applyFill="1"/>
    <xf numFmtId="180" fontId="0" fillId="8" borderId="0" xfId="0" applyNumberFormat="1" applyFill="1"/>
    <xf numFmtId="179" fontId="23" fillId="0" borderId="0" xfId="0" applyNumberFormat="1" applyFont="1"/>
    <xf numFmtId="0" fontId="23" fillId="0" borderId="0" xfId="0" applyFont="1"/>
    <xf numFmtId="3" fontId="3" fillId="2" borderId="12" xfId="0" applyNumberFormat="1" applyFont="1" applyFill="1" applyBorder="1" applyAlignment="1">
      <alignment horizontal="center" vertical="center"/>
    </xf>
    <xf numFmtId="0" fontId="9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12" fillId="0" borderId="0" xfId="0" applyFont="1"/>
    <xf numFmtId="0" fontId="17" fillId="0" borderId="4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178" fontId="17" fillId="0" borderId="4" xfId="0" applyNumberFormat="1" applyFont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3" fontId="3" fillId="0" borderId="4" xfId="0" applyNumberFormat="1" applyFont="1" applyBorder="1" applyAlignment="1">
      <alignment horizontal="right" vertical="center"/>
    </xf>
    <xf numFmtId="0" fontId="3" fillId="0" borderId="7" xfId="0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9"/>
  <sheetViews>
    <sheetView tabSelected="1" topLeftCell="A5" workbookViewId="0">
      <selection activeCell="C45" sqref="C45"/>
    </sheetView>
  </sheetViews>
  <sheetFormatPr defaultRowHeight="17" x14ac:dyDescent="0.45"/>
  <cols>
    <col min="1" max="1" width="15" customWidth="1"/>
    <col min="2" max="3" width="14.33203125" bestFit="1" customWidth="1"/>
    <col min="4" max="4" width="16.75" bestFit="1" customWidth="1"/>
    <col min="5" max="5" width="6.1640625" bestFit="1" customWidth="1"/>
    <col min="6" max="6" width="10.6640625" bestFit="1" customWidth="1"/>
    <col min="7" max="7" width="9.6640625" bestFit="1" customWidth="1"/>
    <col min="8" max="10" width="8.75" bestFit="1" customWidth="1"/>
    <col min="11" max="11" width="13.5" customWidth="1"/>
    <col min="12" max="12" width="9.6640625" bestFit="1" customWidth="1"/>
    <col min="13" max="13" width="11.58203125" customWidth="1"/>
    <col min="14" max="14" width="10.6640625" bestFit="1" customWidth="1"/>
    <col min="15" max="15" width="9.6640625" bestFit="1" customWidth="1"/>
  </cols>
  <sheetData>
    <row r="2" spans="1:5" ht="35" customHeight="1" x14ac:dyDescent="0.7">
      <c r="A2" s="58" t="s">
        <v>0</v>
      </c>
      <c r="B2" s="59"/>
      <c r="C2" s="59"/>
      <c r="D2" s="59"/>
    </row>
    <row r="5" spans="1:5" ht="25" customHeight="1" x14ac:dyDescent="0.45">
      <c r="A5" s="1" t="s">
        <v>1</v>
      </c>
      <c r="B5" s="1" t="s">
        <v>2</v>
      </c>
      <c r="C5" s="1" t="s">
        <v>3</v>
      </c>
      <c r="D5" s="1" t="s">
        <v>4</v>
      </c>
      <c r="E5" s="57" t="s">
        <v>5</v>
      </c>
    </row>
    <row r="6" spans="1:5" x14ac:dyDescent="0.45">
      <c r="A6" s="2" t="s">
        <v>6</v>
      </c>
      <c r="B6" s="3">
        <f>'5월1일'!I27</f>
        <v>264000</v>
      </c>
      <c r="C6" s="4">
        <f>'5월1일'!J27</f>
        <v>0</v>
      </c>
      <c r="D6" s="5">
        <f>'5월1일'!L26</f>
        <v>264000</v>
      </c>
      <c r="E6" s="5">
        <f>COUNTA('5월1일'!B6:B25)+COUNTA('5월1일'!H6:H25)</f>
        <v>2</v>
      </c>
    </row>
    <row r="7" spans="1:5" x14ac:dyDescent="0.45">
      <c r="A7" s="2" t="s">
        <v>7</v>
      </c>
      <c r="B7" s="3">
        <f>'5월2일'!I27</f>
        <v>424000</v>
      </c>
      <c r="C7" s="4">
        <f>'5월2일'!J27</f>
        <v>65000</v>
      </c>
      <c r="D7" s="5">
        <f>'5월2일'!L26</f>
        <v>489000</v>
      </c>
      <c r="E7" s="5">
        <f>COUNTA('5월2일'!B6:B25)+COUNTA('5월2일'!H6:H25)</f>
        <v>7</v>
      </c>
    </row>
    <row r="8" spans="1:5" x14ac:dyDescent="0.45">
      <c r="A8" s="2" t="s">
        <v>8</v>
      </c>
      <c r="B8" s="3">
        <f>'5월3일'!I27</f>
        <v>262000</v>
      </c>
      <c r="C8" s="4">
        <f>'5월3일'!J27</f>
        <v>432000</v>
      </c>
      <c r="D8" s="5">
        <f>'5월3일'!L26</f>
        <v>694000</v>
      </c>
      <c r="E8" s="5">
        <f>COUNTA('5월3일'!B6:B25)+COUNTA('5월3일'!H6:H25)</f>
        <v>8</v>
      </c>
    </row>
    <row r="9" spans="1:5" x14ac:dyDescent="0.45">
      <c r="A9" s="2" t="s">
        <v>9</v>
      </c>
      <c r="B9" s="3">
        <f>'5월4일'!I27</f>
        <v>40000</v>
      </c>
      <c r="C9" s="4">
        <f>'5월4일'!J27</f>
        <v>0</v>
      </c>
      <c r="D9" s="5">
        <f>'5월4일'!L26</f>
        <v>40000</v>
      </c>
      <c r="E9" s="5">
        <f>COUNTA('5월4일'!B6:B25)+COUNTA('5월4일'!H6:H25)</f>
        <v>2</v>
      </c>
    </row>
    <row r="10" spans="1:5" x14ac:dyDescent="0.45">
      <c r="A10" s="2" t="s">
        <v>10</v>
      </c>
      <c r="B10" s="3">
        <f>'5월5일'!I27</f>
        <v>192000</v>
      </c>
      <c r="C10" s="4">
        <f>'5월5일'!J27</f>
        <v>0</v>
      </c>
      <c r="D10" s="5">
        <f>'5월5일'!L26</f>
        <v>192000</v>
      </c>
      <c r="E10" s="5">
        <f>COUNTA('5월5일'!B6:B25)+COUNTA('5월5일'!H6:H25)</f>
        <v>6</v>
      </c>
    </row>
    <row r="11" spans="1:5" x14ac:dyDescent="0.45">
      <c r="A11" s="2" t="s">
        <v>11</v>
      </c>
      <c r="B11" s="3">
        <f>'5월6일'!I33</f>
        <v>275000</v>
      </c>
      <c r="C11" s="4">
        <f>'5월6일'!J33</f>
        <v>0</v>
      </c>
      <c r="D11" s="5">
        <f>'5월6일'!L32</f>
        <v>275000</v>
      </c>
      <c r="E11" s="5">
        <f>COUNTA('5월6일'!B6:B25)+COUNTA('5월6일'!H6:H25)</f>
        <v>3</v>
      </c>
    </row>
    <row r="12" spans="1:5" x14ac:dyDescent="0.45">
      <c r="A12" s="2" t="s">
        <v>12</v>
      </c>
      <c r="B12" s="3">
        <f>'5월7일'!I27</f>
        <v>215000</v>
      </c>
      <c r="C12" s="4">
        <f>'5월7일'!J27</f>
        <v>0</v>
      </c>
      <c r="D12" s="5">
        <f>'5월7일'!L26</f>
        <v>215000</v>
      </c>
      <c r="E12" s="5">
        <f>COUNTA('5월7일'!B6:B25)+COUNTA('5월7일'!H6:H25)</f>
        <v>4</v>
      </c>
    </row>
    <row r="13" spans="1:5" x14ac:dyDescent="0.45">
      <c r="A13" s="2" t="s">
        <v>13</v>
      </c>
      <c r="B13" s="3">
        <f>'5월8일'!I27</f>
        <v>202000</v>
      </c>
      <c r="C13" s="4">
        <f>'5월8일'!J27</f>
        <v>0</v>
      </c>
      <c r="D13" s="5">
        <f>'5월8일'!L26</f>
        <v>202000</v>
      </c>
      <c r="E13" s="5">
        <f>COUNTA('5월8일'!B6:B25)+COUNTA('5월8일'!H6:H25)</f>
        <v>4</v>
      </c>
    </row>
    <row r="14" spans="1:5" x14ac:dyDescent="0.45">
      <c r="A14" s="2" t="s">
        <v>14</v>
      </c>
      <c r="B14" s="3">
        <f>'5월9일'!I27</f>
        <v>394000</v>
      </c>
      <c r="C14" s="4">
        <f>'5월9일'!J27</f>
        <v>0</v>
      </c>
      <c r="D14" s="5">
        <f>'5월9일'!L26</f>
        <v>394000</v>
      </c>
      <c r="E14" s="5">
        <f>COUNTA('5월9일'!B6:B25)+COUNTA('5월9일'!H6:H25)</f>
        <v>5</v>
      </c>
    </row>
    <row r="15" spans="1:5" x14ac:dyDescent="0.45">
      <c r="A15" s="2" t="s">
        <v>15</v>
      </c>
      <c r="B15" s="3">
        <f>'5월10일'!I27</f>
        <v>288000</v>
      </c>
      <c r="C15" s="4">
        <f>'5월10일'!J27</f>
        <v>230000</v>
      </c>
      <c r="D15" s="5">
        <f>'5월10일'!L26</f>
        <v>518000</v>
      </c>
      <c r="E15" s="5">
        <f>COUNTA('5월10일'!B6:B25)+COUNTA('5월10일'!H6:H25)</f>
        <v>5</v>
      </c>
    </row>
    <row r="16" spans="1:5" x14ac:dyDescent="0.45">
      <c r="A16" s="2" t="s">
        <v>16</v>
      </c>
      <c r="B16" s="3">
        <f>'5월11일'!I27</f>
        <v>105000</v>
      </c>
      <c r="C16" s="4">
        <f>'5월11일'!J27</f>
        <v>30000</v>
      </c>
      <c r="D16" s="5">
        <f>'5월11일'!L26</f>
        <v>135000</v>
      </c>
      <c r="E16" s="5">
        <f>COUNTA('5월11일'!B6:B25)+COUNTA('5월11일'!H6:H25)</f>
        <v>4</v>
      </c>
    </row>
    <row r="17" spans="1:15" x14ac:dyDescent="0.45">
      <c r="A17" s="2" t="s">
        <v>17</v>
      </c>
      <c r="B17" s="3">
        <f>'5월12일'!I27</f>
        <v>125000</v>
      </c>
      <c r="C17" s="4">
        <f>'5월12일'!J27</f>
        <v>110000</v>
      </c>
      <c r="D17" s="5">
        <f>'5월12일'!L26</f>
        <v>235000</v>
      </c>
      <c r="E17" s="5">
        <f>COUNTA('5월12일'!B6:B25)+COUNTA('5월12일'!H6:H25)</f>
        <v>6</v>
      </c>
    </row>
    <row r="18" spans="1:15" x14ac:dyDescent="0.45">
      <c r="A18" s="2" t="s">
        <v>18</v>
      </c>
      <c r="B18" s="3">
        <f>'5월13일'!I27</f>
        <v>307000</v>
      </c>
      <c r="C18" s="4">
        <f>'5월13일'!J27</f>
        <v>70000</v>
      </c>
      <c r="D18" s="5">
        <f>'5월13일'!L26</f>
        <v>377000</v>
      </c>
      <c r="E18" s="5">
        <f>COUNTA('5월13일'!B6:B25)+COUNTA('5월13일'!H6:H25)</f>
        <v>6</v>
      </c>
    </row>
    <row r="19" spans="1:15" x14ac:dyDescent="0.45">
      <c r="A19" s="2" t="s">
        <v>19</v>
      </c>
      <c r="B19" s="3">
        <f>'5월14일'!I27</f>
        <v>65000</v>
      </c>
      <c r="C19" s="4">
        <f>'5월14일'!J27</f>
        <v>18000</v>
      </c>
      <c r="D19" s="5">
        <f>'5월14일'!L26</f>
        <v>83000</v>
      </c>
      <c r="E19" s="5">
        <f>COUNTA('5월14일'!B6:B25)+COUNTA('5월14일'!H6:H25)</f>
        <v>3</v>
      </c>
    </row>
    <row r="20" spans="1:15" x14ac:dyDescent="0.45">
      <c r="A20" s="2" t="s">
        <v>20</v>
      </c>
      <c r="B20" s="3">
        <f>'5월15일'!I27</f>
        <v>526000</v>
      </c>
      <c r="C20" s="4">
        <f>'5월15일'!J27</f>
        <v>180000</v>
      </c>
      <c r="D20" s="5">
        <f>'5월15일'!L26</f>
        <v>706000</v>
      </c>
      <c r="E20" s="5">
        <f>COUNTA('5월15일'!B6:B25)+COUNTA('5월15일'!H6:H25)</f>
        <v>10</v>
      </c>
    </row>
    <row r="21" spans="1:15" x14ac:dyDescent="0.45">
      <c r="A21" s="2" t="s">
        <v>21</v>
      </c>
      <c r="B21" s="3">
        <f>'5월16일'!I27</f>
        <v>564000</v>
      </c>
      <c r="C21" s="4">
        <f>'5월16일'!J27</f>
        <v>744000</v>
      </c>
      <c r="D21" s="5">
        <f>'5월16일'!L26</f>
        <v>1308000</v>
      </c>
      <c r="E21" s="5">
        <f>COUNTA('5월16일'!B6:B25)+COUNTA('5월16일'!H6:H25)</f>
        <v>11</v>
      </c>
    </row>
    <row r="22" spans="1:15" x14ac:dyDescent="0.45">
      <c r="A22" s="2" t="s">
        <v>22</v>
      </c>
      <c r="B22" s="3">
        <f>'5월17일'!I27</f>
        <v>444000</v>
      </c>
      <c r="C22" s="4">
        <f>'5월17일'!J27</f>
        <v>105000</v>
      </c>
      <c r="D22" s="5">
        <f>'5월17일'!L26</f>
        <v>549000</v>
      </c>
      <c r="E22" s="5">
        <f>COUNTA('5월17일'!B6:B25)+COUNTA('5월17일'!H6:H25)</f>
        <v>11</v>
      </c>
    </row>
    <row r="23" spans="1:15" x14ac:dyDescent="0.45">
      <c r="A23" s="2" t="s">
        <v>23</v>
      </c>
      <c r="B23" s="3">
        <f>'5월18일'!I27</f>
        <v>170000</v>
      </c>
      <c r="C23" s="4">
        <f>'5월18일'!J27</f>
        <v>139000</v>
      </c>
      <c r="D23" s="5">
        <f>'5월18일'!L26</f>
        <v>309000</v>
      </c>
      <c r="E23" s="5">
        <f>COUNTA('5월18일'!B6:B25)+COUNTA('5월18일'!H6:H25)</f>
        <v>6</v>
      </c>
    </row>
    <row r="24" spans="1:15" x14ac:dyDescent="0.45">
      <c r="A24" s="2" t="s">
        <v>24</v>
      </c>
      <c r="B24" s="3">
        <f>'5월19일'!I27</f>
        <v>78000</v>
      </c>
      <c r="C24" s="4">
        <f>'5월19일'!J27</f>
        <v>31000</v>
      </c>
      <c r="D24" s="5">
        <f>'5월19일'!L26</f>
        <v>109000</v>
      </c>
      <c r="E24" s="5">
        <f>COUNTA('5월19일'!B6:B25)+COUNTA('5월19일'!H6:H25)</f>
        <v>5</v>
      </c>
    </row>
    <row r="25" spans="1:15" x14ac:dyDescent="0.45">
      <c r="A25" s="2" t="s">
        <v>25</v>
      </c>
      <c r="B25" s="3">
        <f>'5월20일'!I27</f>
        <v>265000</v>
      </c>
      <c r="C25" s="4">
        <f>'5월20일'!J27</f>
        <v>0</v>
      </c>
      <c r="D25" s="5">
        <f>'5월20일'!L26</f>
        <v>265000</v>
      </c>
      <c r="E25" s="5">
        <f>COUNTA('5월20일'!B6:B25)+COUNTA('5월20일'!H6:H25)</f>
        <v>3</v>
      </c>
    </row>
    <row r="26" spans="1:15" x14ac:dyDescent="0.45">
      <c r="A26" s="2" t="s">
        <v>26</v>
      </c>
      <c r="B26" s="3">
        <f>'5월21일'!I27</f>
        <v>408000</v>
      </c>
      <c r="C26" s="4">
        <f>'5월21일'!J27</f>
        <v>25000</v>
      </c>
      <c r="D26" s="5">
        <f>'5월21일'!L26</f>
        <v>433000</v>
      </c>
      <c r="E26" s="5">
        <f>COUNTA('5월21일'!B6:B25)+COUNTA('5월21일'!H6:H25)</f>
        <v>8</v>
      </c>
    </row>
    <row r="27" spans="1:15" x14ac:dyDescent="0.45">
      <c r="A27" s="2" t="s">
        <v>27</v>
      </c>
      <c r="B27" s="3">
        <f>'5월22일'!I27</f>
        <v>489000</v>
      </c>
      <c r="C27" s="4">
        <f>'5월22일'!J27</f>
        <v>10000</v>
      </c>
      <c r="D27" s="5">
        <f>'5월22일'!L26</f>
        <v>499000</v>
      </c>
      <c r="E27" s="5">
        <f>COUNTA('5월22일'!B6:B25)+COUNTA('5월22일'!H6:H25)</f>
        <v>8</v>
      </c>
      <c r="F27" s="49" t="s">
        <v>28</v>
      </c>
      <c r="G27" s="49" t="s">
        <v>29</v>
      </c>
      <c r="H27" s="49" t="s">
        <v>30</v>
      </c>
      <c r="I27" s="49" t="s">
        <v>31</v>
      </c>
      <c r="J27" s="49" t="s">
        <v>32</v>
      </c>
      <c r="K27" s="49" t="s">
        <v>33</v>
      </c>
      <c r="L27" s="49" t="s">
        <v>34</v>
      </c>
      <c r="M27" s="49" t="s">
        <v>35</v>
      </c>
      <c r="N27" s="49" t="s">
        <v>36</v>
      </c>
    </row>
    <row r="28" spans="1:15" x14ac:dyDescent="0.45">
      <c r="A28" s="2" t="s">
        <v>37</v>
      </c>
      <c r="B28" s="3">
        <f>'5월23일'!I27</f>
        <v>170000</v>
      </c>
      <c r="C28" s="4">
        <f>'5월23일'!J27</f>
        <v>10000</v>
      </c>
      <c r="D28" s="5">
        <f>'5월23일'!L26</f>
        <v>180000</v>
      </c>
      <c r="E28" s="5">
        <f>COUNTA('5월23일'!B6:B25)+COUNTA('5월23일'!H6:H25)</f>
        <v>4</v>
      </c>
      <c r="F28" s="55">
        <v>1400000</v>
      </c>
      <c r="G28" s="55">
        <v>300000</v>
      </c>
      <c r="H28" s="55">
        <v>5000</v>
      </c>
      <c r="I28" s="55">
        <v>25000</v>
      </c>
      <c r="J28" s="55">
        <v>50000</v>
      </c>
      <c r="K28" s="55">
        <v>6000000</v>
      </c>
      <c r="L28" s="56"/>
      <c r="M28" s="56"/>
      <c r="N28" s="55">
        <f>SUM(F28:M28)</f>
        <v>7780000</v>
      </c>
      <c r="O28" s="50"/>
    </row>
    <row r="29" spans="1:15" x14ac:dyDescent="0.45">
      <c r="A29" s="2" t="s">
        <v>38</v>
      </c>
      <c r="B29" s="3">
        <f>'5월24일'!I27</f>
        <v>470000</v>
      </c>
      <c r="C29" s="4">
        <f>'5월24일'!J27</f>
        <v>375000</v>
      </c>
      <c r="D29" s="5">
        <f>'5월24일'!L26</f>
        <v>845000</v>
      </c>
      <c r="E29" s="5">
        <f>COUNTA('5월24일'!B6:B25)+COUNTA('5월24일'!H6:H25)</f>
        <v>8</v>
      </c>
    </row>
    <row r="30" spans="1:15" x14ac:dyDescent="0.45">
      <c r="A30" s="2" t="s">
        <v>39</v>
      </c>
      <c r="B30" s="3">
        <f>'5월25일'!I27</f>
        <v>90000</v>
      </c>
      <c r="C30" s="4">
        <f>'5월25일'!J27</f>
        <v>58000</v>
      </c>
      <c r="D30" s="5">
        <f>'5월25일'!L26</f>
        <v>148000</v>
      </c>
      <c r="E30" s="5">
        <f>COUNTA('5월25일'!B6:B25)+COUNTA('5월25일'!H6:H25)</f>
        <v>2</v>
      </c>
    </row>
    <row r="31" spans="1:15" x14ac:dyDescent="0.45">
      <c r="A31" s="2" t="s">
        <v>40</v>
      </c>
      <c r="B31" s="3">
        <f>'5월26일'!I27</f>
        <v>161000</v>
      </c>
      <c r="C31" s="4">
        <f>'5월26일'!J27</f>
        <v>0</v>
      </c>
      <c r="D31" s="5">
        <f>'5월26일'!L26</f>
        <v>161000</v>
      </c>
      <c r="E31" s="5">
        <f>COUNTA('5월26일'!B6:B25)+COUNTA('5월26일'!H6:H25)</f>
        <v>5</v>
      </c>
    </row>
    <row r="32" spans="1:15" x14ac:dyDescent="0.45">
      <c r="A32" s="2" t="s">
        <v>41</v>
      </c>
      <c r="B32" s="3">
        <f>'5월27일'!I27</f>
        <v>165000</v>
      </c>
      <c r="C32" s="4">
        <f>'5월27일'!J27</f>
        <v>35000</v>
      </c>
      <c r="D32" s="5">
        <f>'5월27일'!L26</f>
        <v>200000</v>
      </c>
      <c r="E32" s="5">
        <f>COUNTA('5월27일'!B6:B25)+COUNTA('5월27일'!H6:H25)</f>
        <v>5</v>
      </c>
    </row>
    <row r="33" spans="1:6" x14ac:dyDescent="0.45">
      <c r="A33" s="2" t="s">
        <v>42</v>
      </c>
      <c r="B33" s="3">
        <f>'5월28일'!I27</f>
        <v>491000</v>
      </c>
      <c r="C33" s="4">
        <f>'5월28일'!J27</f>
        <v>53000</v>
      </c>
      <c r="D33" s="5">
        <f>'5월28일'!L26</f>
        <v>544000</v>
      </c>
      <c r="E33" s="5">
        <f>COUNTA('5월28일'!B6:B25)+COUNTA('5월28일'!H6:H25)</f>
        <v>9</v>
      </c>
    </row>
    <row r="34" spans="1:6" x14ac:dyDescent="0.45">
      <c r="A34" s="2" t="s">
        <v>43</v>
      </c>
      <c r="B34" s="3">
        <f>'5월29일'!I27</f>
        <v>99000</v>
      </c>
      <c r="C34" s="4">
        <f>'5월29일'!J27</f>
        <v>0</v>
      </c>
      <c r="D34" s="5">
        <f>'5월29일'!L26</f>
        <v>99000</v>
      </c>
      <c r="E34" s="5">
        <f>COUNTA('5월29일'!B6:B25)+COUNTA('5월29일'!H6:H25)</f>
        <v>2</v>
      </c>
    </row>
    <row r="35" spans="1:6" x14ac:dyDescent="0.45">
      <c r="A35" s="2" t="s">
        <v>44</v>
      </c>
      <c r="B35" s="3">
        <f>'5월30일'!I27</f>
        <v>139000</v>
      </c>
      <c r="C35" s="4">
        <f>'5월30일'!J27</f>
        <v>0</v>
      </c>
      <c r="D35" s="5">
        <f>'5월30일'!L26</f>
        <v>139000</v>
      </c>
      <c r="E35" s="5">
        <f>COUNTA('5월30일'!B6:B25)+COUNTA('5월30일'!H6:H25)</f>
        <v>3</v>
      </c>
    </row>
    <row r="36" spans="1:6" x14ac:dyDescent="0.45">
      <c r="A36" s="2" t="s">
        <v>45</v>
      </c>
      <c r="B36" s="3">
        <f>'5월31일'!I27</f>
        <v>504000</v>
      </c>
      <c r="C36" s="4">
        <f>'5월31일'!J27</f>
        <v>80000</v>
      </c>
      <c r="D36" s="5">
        <f>'5월31일'!L26</f>
        <v>584000</v>
      </c>
      <c r="E36" s="5">
        <f>COUNTA('5월31일'!B6:B25)+COUNTA('5월31일'!H6:H25)</f>
        <v>15</v>
      </c>
    </row>
    <row r="37" spans="1:6" x14ac:dyDescent="0.45">
      <c r="A37" s="6" t="s">
        <v>46</v>
      </c>
      <c r="B37" s="7">
        <f>SUM(B6:B36)</f>
        <v>8391000</v>
      </c>
      <c r="C37" s="8">
        <f>SUM(C6:C36)</f>
        <v>2800000</v>
      </c>
      <c r="D37" s="9">
        <f>SUM(D6:D36)</f>
        <v>11191000</v>
      </c>
      <c r="E37" s="9">
        <f>SUM(E6:E36)</f>
        <v>180</v>
      </c>
    </row>
    <row r="38" spans="1:6" s="47" customFormat="1" x14ac:dyDescent="0.45">
      <c r="B38" s="47" t="s">
        <v>47</v>
      </c>
      <c r="C38" s="47" t="s">
        <v>48</v>
      </c>
      <c r="F38" s="51">
        <f>D37-N28</f>
        <v>3411000</v>
      </c>
    </row>
    <row r="39" spans="1:6" s="48" customFormat="1" x14ac:dyDescent="0.45">
      <c r="B39" s="52">
        <f>B37/D37</f>
        <v>0.74979894558127069</v>
      </c>
      <c r="C39" s="53">
        <f>C37/D37</f>
        <v>0.25020105441872936</v>
      </c>
      <c r="D39" s="54">
        <f>D37/31</f>
        <v>361000</v>
      </c>
      <c r="E39" s="54"/>
    </row>
  </sheetData>
  <mergeCells count="1">
    <mergeCell ref="A2:D2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"/>
  <sheetViews>
    <sheetView workbookViewId="0">
      <selection activeCell="H13" sqref="H13"/>
    </sheetView>
  </sheetViews>
  <sheetFormatPr defaultRowHeight="17" x14ac:dyDescent="0.45"/>
  <cols>
    <col min="1" max="1" width="4" style="32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61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61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50</v>
      </c>
    </row>
    <row r="5" spans="1:15" s="31" customFormat="1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59</v>
      </c>
      <c r="C6" s="63"/>
      <c r="D6" s="64"/>
      <c r="E6" s="42">
        <v>160000</v>
      </c>
      <c r="F6" s="43"/>
      <c r="G6" s="44">
        <f t="shared" ref="G6:G26" si="0">E6+F6</f>
        <v>160000</v>
      </c>
      <c r="H6" s="45" t="s">
        <v>60</v>
      </c>
      <c r="I6" s="42">
        <v>104000</v>
      </c>
      <c r="J6" s="43"/>
      <c r="K6" s="44">
        <f t="shared" ref="K6:K26" si="1">I6+J6</f>
        <v>104000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/>
      <c r="C7" s="63"/>
      <c r="D7" s="64"/>
      <c r="E7" s="42"/>
      <c r="F7" s="43"/>
      <c r="G7" s="44">
        <f t="shared" si="0"/>
        <v>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160000</v>
      </c>
      <c r="F26" s="13">
        <f>SUM(F6:F25)</f>
        <v>0</v>
      </c>
      <c r="G26" s="14">
        <f t="shared" si="0"/>
        <v>160000</v>
      </c>
      <c r="H26" s="11"/>
      <c r="I26" s="12">
        <f>SUM(I6:I25)</f>
        <v>104000</v>
      </c>
      <c r="J26" s="13">
        <f>SUM(J6:J25)</f>
        <v>0</v>
      </c>
      <c r="K26" s="14">
        <f t="shared" si="1"/>
        <v>104000</v>
      </c>
      <c r="L26" s="14">
        <f>G26+K26</f>
        <v>264000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264000</v>
      </c>
      <c r="J27" s="21">
        <f>F26+J26</f>
        <v>0</v>
      </c>
      <c r="K27" s="19"/>
      <c r="L27" s="22">
        <f>K28/1</f>
        <v>264000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I27</f>
        <v>264000</v>
      </c>
      <c r="J28" s="21">
        <f>J27</f>
        <v>0</v>
      </c>
      <c r="K28" s="22">
        <f>L26</f>
        <v>264000</v>
      </c>
      <c r="L28" s="69">
        <f>L26</f>
        <v>264000</v>
      </c>
      <c r="M28" s="64"/>
      <c r="N28" s="19"/>
      <c r="O28" s="24">
        <f>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62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63</v>
      </c>
      <c r="C6" s="63"/>
      <c r="D6" s="64"/>
      <c r="E6" s="42"/>
      <c r="F6" s="43">
        <v>20000</v>
      </c>
      <c r="G6" s="44">
        <f t="shared" ref="G6:G26" si="0">E6+F6</f>
        <v>20000</v>
      </c>
      <c r="H6" s="45" t="s">
        <v>64</v>
      </c>
      <c r="I6" s="42">
        <v>250000</v>
      </c>
      <c r="J6" s="43"/>
      <c r="K6" s="44">
        <f t="shared" ref="K6:K26" si="1">I6+J6</f>
        <v>250000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65</v>
      </c>
      <c r="C7" s="63"/>
      <c r="D7" s="64"/>
      <c r="E7" s="42"/>
      <c r="F7" s="43">
        <v>45000</v>
      </c>
      <c r="G7" s="44">
        <f t="shared" si="0"/>
        <v>45000</v>
      </c>
      <c r="H7" s="41" t="s">
        <v>66</v>
      </c>
      <c r="I7" s="42">
        <v>15000</v>
      </c>
      <c r="J7" s="43"/>
      <c r="K7" s="44">
        <f t="shared" si="1"/>
        <v>15000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67</v>
      </c>
      <c r="C8" s="63"/>
      <c r="D8" s="64"/>
      <c r="E8" s="42">
        <v>50000</v>
      </c>
      <c r="F8" s="43"/>
      <c r="G8" s="44">
        <f t="shared" si="0"/>
        <v>50000</v>
      </c>
      <c r="H8" s="41" t="s">
        <v>68</v>
      </c>
      <c r="I8" s="42">
        <v>39000</v>
      </c>
      <c r="J8" s="43"/>
      <c r="K8" s="44">
        <f t="shared" si="1"/>
        <v>39000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69</v>
      </c>
      <c r="C9" s="63"/>
      <c r="D9" s="64"/>
      <c r="E9" s="42">
        <v>70000</v>
      </c>
      <c r="F9" s="43"/>
      <c r="G9" s="44">
        <f t="shared" si="0"/>
        <v>70000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120000</v>
      </c>
      <c r="F26" s="13">
        <f>SUM(F6:F25)</f>
        <v>65000</v>
      </c>
      <c r="G26" s="14">
        <f t="shared" si="0"/>
        <v>185000</v>
      </c>
      <c r="H26" s="11"/>
      <c r="I26" s="12">
        <f>SUM(I6:I25)</f>
        <v>304000</v>
      </c>
      <c r="J26" s="13">
        <f>SUM(J6:J25)</f>
        <v>0</v>
      </c>
      <c r="K26" s="14">
        <f t="shared" si="1"/>
        <v>304000</v>
      </c>
      <c r="L26" s="14">
        <f>G26+K26</f>
        <v>489000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424000</v>
      </c>
      <c r="J27" s="21">
        <f>F26+J26</f>
        <v>65000</v>
      </c>
      <c r="K27" s="19"/>
      <c r="L27" s="22">
        <f>K28/2</f>
        <v>376500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'5월1일'!I28+I27</f>
        <v>688000</v>
      </c>
      <c r="J28" s="21">
        <f>'5월1일'!J28+J27</f>
        <v>65000</v>
      </c>
      <c r="K28" s="22">
        <f>'5월1일'!K28+L26</f>
        <v>753000</v>
      </c>
      <c r="L28" s="69">
        <f>'5월1일'!L28+L26</f>
        <v>753000</v>
      </c>
      <c r="M28" s="64"/>
      <c r="N28" s="19"/>
      <c r="O28" s="24">
        <f>'5월1일'!O28+N26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0.91367861885790169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9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70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71</v>
      </c>
      <c r="C6" s="63"/>
      <c r="D6" s="64"/>
      <c r="E6" s="42">
        <v>75000</v>
      </c>
      <c r="F6" s="43"/>
      <c r="G6" s="44">
        <f t="shared" ref="G6:G26" si="0">E6+F6</f>
        <v>75000</v>
      </c>
      <c r="H6" s="45" t="s">
        <v>72</v>
      </c>
      <c r="I6" s="42">
        <v>55000</v>
      </c>
      <c r="J6" s="43"/>
      <c r="K6" s="44">
        <f t="shared" ref="K6:K26" si="1">I6+J6</f>
        <v>55000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73</v>
      </c>
      <c r="C7" s="63"/>
      <c r="D7" s="64"/>
      <c r="E7" s="42">
        <v>55000</v>
      </c>
      <c r="F7" s="43"/>
      <c r="G7" s="44">
        <f t="shared" si="0"/>
        <v>55000</v>
      </c>
      <c r="H7" s="41" t="s">
        <v>74</v>
      </c>
      <c r="I7" s="42"/>
      <c r="J7" s="43">
        <v>230000</v>
      </c>
      <c r="K7" s="44">
        <f t="shared" si="1"/>
        <v>230000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75</v>
      </c>
      <c r="C8" s="63"/>
      <c r="D8" s="64"/>
      <c r="E8" s="42">
        <v>18000</v>
      </c>
      <c r="F8" s="43"/>
      <c r="G8" s="44">
        <f t="shared" si="0"/>
        <v>18000</v>
      </c>
      <c r="H8" s="41" t="s">
        <v>76</v>
      </c>
      <c r="I8" s="42">
        <v>29000</v>
      </c>
      <c r="J8" s="43"/>
      <c r="K8" s="44">
        <f t="shared" si="1"/>
        <v>29000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77</v>
      </c>
      <c r="C9" s="63"/>
      <c r="D9" s="64"/>
      <c r="E9" s="42">
        <v>30000</v>
      </c>
      <c r="F9" s="43"/>
      <c r="G9" s="44">
        <f t="shared" si="0"/>
        <v>30000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78</v>
      </c>
      <c r="C10" s="63"/>
      <c r="D10" s="64"/>
      <c r="E10" s="42"/>
      <c r="F10" s="43">
        <v>202000</v>
      </c>
      <c r="G10" s="44">
        <f t="shared" si="0"/>
        <v>202000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178000</v>
      </c>
      <c r="F26" s="13">
        <f>SUM(F6:F25)</f>
        <v>202000</v>
      </c>
      <c r="G26" s="14">
        <f t="shared" si="0"/>
        <v>380000</v>
      </c>
      <c r="H26" s="11"/>
      <c r="I26" s="12">
        <f>SUM(I6:I25)</f>
        <v>84000</v>
      </c>
      <c r="J26" s="13">
        <f>SUM(J6:J25)</f>
        <v>230000</v>
      </c>
      <c r="K26" s="14">
        <f t="shared" si="1"/>
        <v>314000</v>
      </c>
      <c r="L26" s="14">
        <f>G26+K26</f>
        <v>694000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262000</v>
      </c>
      <c r="J27" s="21">
        <f>F26+J26</f>
        <v>432000</v>
      </c>
      <c r="K27" s="19"/>
      <c r="L27" s="22">
        <f>K28/3</f>
        <v>482333.33333333331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'5월2일'!I28+I27</f>
        <v>950000</v>
      </c>
      <c r="J28" s="21">
        <f>'5월2일'!J28+J27</f>
        <v>497000</v>
      </c>
      <c r="K28" s="22">
        <f>'5월2일'!K28+L26</f>
        <v>1447000</v>
      </c>
      <c r="L28" s="69">
        <f>'5월2일'!L28+L26</f>
        <v>1447000</v>
      </c>
      <c r="M28" s="64"/>
      <c r="N28" s="19"/>
      <c r="O28" s="24">
        <f>'5월2일'!O28+N26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0.65653075328265376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79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80</v>
      </c>
      <c r="C6" s="63"/>
      <c r="D6" s="64"/>
      <c r="E6" s="42">
        <v>20000</v>
      </c>
      <c r="F6" s="43"/>
      <c r="G6" s="44">
        <f t="shared" ref="G6:G26" si="0">E6+F6</f>
        <v>20000</v>
      </c>
      <c r="H6" s="45" t="s">
        <v>81</v>
      </c>
      <c r="I6" s="42">
        <v>20000</v>
      </c>
      <c r="J6" s="43"/>
      <c r="K6" s="44">
        <f t="shared" ref="K6:K26" si="1">I6+J6</f>
        <v>20000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/>
      <c r="C7" s="63"/>
      <c r="D7" s="64"/>
      <c r="E7" s="42"/>
      <c r="F7" s="43"/>
      <c r="G7" s="44">
        <f t="shared" si="0"/>
        <v>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20000</v>
      </c>
      <c r="F26" s="13">
        <f>SUM(F6:F25)</f>
        <v>0</v>
      </c>
      <c r="G26" s="14">
        <f t="shared" si="0"/>
        <v>20000</v>
      </c>
      <c r="H26" s="11"/>
      <c r="I26" s="12">
        <f>SUM(I6:I25)</f>
        <v>20000</v>
      </c>
      <c r="J26" s="13">
        <f>SUM(J6:J25)</f>
        <v>0</v>
      </c>
      <c r="K26" s="14">
        <f t="shared" si="1"/>
        <v>20000</v>
      </c>
      <c r="L26" s="14">
        <f>G26+K26</f>
        <v>40000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40000</v>
      </c>
      <c r="J27" s="21">
        <f>F26+J26</f>
        <v>0</v>
      </c>
      <c r="K27" s="19"/>
      <c r="L27" s="22">
        <f>K28/4</f>
        <v>371750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'5월3일'!I28+I27</f>
        <v>990000</v>
      </c>
      <c r="J28" s="21">
        <f>'5월3일'!J28+J27</f>
        <v>497000</v>
      </c>
      <c r="K28" s="22">
        <f>'5월3일'!K28+L26</f>
        <v>1487000</v>
      </c>
      <c r="L28" s="69">
        <f>'5월3일'!L28+L26</f>
        <v>1487000</v>
      </c>
      <c r="M28" s="64"/>
      <c r="N28" s="19"/>
      <c r="O28" s="24">
        <f>'5월3일'!O28+N26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0.66577000672494957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82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83</v>
      </c>
      <c r="C6" s="63"/>
      <c r="D6" s="64"/>
      <c r="E6" s="42">
        <v>10000</v>
      </c>
      <c r="F6" s="43"/>
      <c r="G6" s="44">
        <f t="shared" ref="G6:G26" si="0">E6+F6</f>
        <v>10000</v>
      </c>
      <c r="H6" s="45" t="s">
        <v>84</v>
      </c>
      <c r="I6" s="42">
        <v>25000</v>
      </c>
      <c r="J6" s="43"/>
      <c r="K6" s="44">
        <f t="shared" ref="K6:K26" si="1">I6+J6</f>
        <v>25000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85</v>
      </c>
      <c r="C7" s="63"/>
      <c r="D7" s="64"/>
      <c r="E7" s="42">
        <v>60000</v>
      </c>
      <c r="F7" s="43"/>
      <c r="G7" s="44">
        <f t="shared" si="0"/>
        <v>60000</v>
      </c>
      <c r="H7" s="41" t="s">
        <v>86</v>
      </c>
      <c r="I7" s="42">
        <v>2000</v>
      </c>
      <c r="J7" s="43"/>
      <c r="K7" s="44">
        <f t="shared" si="1"/>
        <v>2000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87</v>
      </c>
      <c r="C8" s="63"/>
      <c r="D8" s="64"/>
      <c r="E8" s="42">
        <v>50000</v>
      </c>
      <c r="F8" s="43"/>
      <c r="G8" s="44">
        <f t="shared" si="0"/>
        <v>50000</v>
      </c>
      <c r="H8" s="41" t="s">
        <v>88</v>
      </c>
      <c r="I8" s="42">
        <v>45000</v>
      </c>
      <c r="J8" s="43"/>
      <c r="K8" s="44">
        <f t="shared" si="1"/>
        <v>45000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120000</v>
      </c>
      <c r="F26" s="13">
        <f>SUM(F6:F25)</f>
        <v>0</v>
      </c>
      <c r="G26" s="14">
        <f t="shared" si="0"/>
        <v>120000</v>
      </c>
      <c r="H26" s="11"/>
      <c r="I26" s="12">
        <f>SUM(I6:I25)</f>
        <v>72000</v>
      </c>
      <c r="J26" s="13">
        <f>SUM(J6:J25)</f>
        <v>0</v>
      </c>
      <c r="K26" s="14">
        <f t="shared" si="1"/>
        <v>72000</v>
      </c>
      <c r="L26" s="14">
        <f>G26+K26</f>
        <v>192000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192000</v>
      </c>
      <c r="J27" s="21">
        <f>F26+J26</f>
        <v>0</v>
      </c>
      <c r="K27" s="19"/>
      <c r="L27" s="22">
        <f>K28/5</f>
        <v>335800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'5월4일'!I28+I27</f>
        <v>1182000</v>
      </c>
      <c r="J28" s="21">
        <f>'5월4일'!J28+J27</f>
        <v>497000</v>
      </c>
      <c r="K28" s="22">
        <f>'5월4일'!K28+L26</f>
        <v>1679000</v>
      </c>
      <c r="L28" s="69">
        <f>'5월4일'!L28+L26</f>
        <v>1679000</v>
      </c>
      <c r="M28" s="64"/>
      <c r="N28" s="19"/>
      <c r="O28" s="24">
        <f>'5월4일'!O28+N26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0.70399047051816555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89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90</v>
      </c>
      <c r="C6" s="63"/>
      <c r="D6" s="64"/>
      <c r="E6" s="42">
        <v>60000</v>
      </c>
      <c r="F6" s="43"/>
      <c r="G6" s="44">
        <f t="shared" ref="G6:G32" si="0">E6+F6</f>
        <v>60000</v>
      </c>
      <c r="H6" s="45" t="s">
        <v>91</v>
      </c>
      <c r="I6" s="42">
        <v>200000</v>
      </c>
      <c r="J6" s="43"/>
      <c r="K6" s="44">
        <f t="shared" ref="K6:K32" si="1">I6+J6</f>
        <v>200000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92</v>
      </c>
      <c r="C7" s="63"/>
      <c r="D7" s="64"/>
      <c r="E7" s="42">
        <v>15000</v>
      </c>
      <c r="F7" s="43"/>
      <c r="G7" s="44">
        <f t="shared" si="0"/>
        <v>15000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0" customHeight="1" x14ac:dyDescent="0.45">
      <c r="A26" s="36">
        <v>21</v>
      </c>
      <c r="B26" s="62"/>
      <c r="C26" s="63"/>
      <c r="D26" s="64"/>
      <c r="E26" s="42"/>
      <c r="F26" s="43"/>
      <c r="G26" s="44">
        <f t="shared" si="0"/>
        <v>0</v>
      </c>
      <c r="H26" s="41"/>
      <c r="I26" s="42"/>
      <c r="J26" s="43"/>
      <c r="K26" s="44">
        <f t="shared" si="1"/>
        <v>0</v>
      </c>
      <c r="L26" s="46"/>
      <c r="M26" s="41"/>
      <c r="N26" s="65"/>
      <c r="O26" s="64"/>
    </row>
    <row r="27" spans="1:15" ht="20" customHeight="1" x14ac:dyDescent="0.45">
      <c r="A27" s="36">
        <v>22</v>
      </c>
      <c r="B27" s="62"/>
      <c r="C27" s="63"/>
      <c r="D27" s="64"/>
      <c r="E27" s="42"/>
      <c r="F27" s="43"/>
      <c r="G27" s="44">
        <f t="shared" si="0"/>
        <v>0</v>
      </c>
      <c r="H27" s="41"/>
      <c r="I27" s="42"/>
      <c r="J27" s="43"/>
      <c r="K27" s="44">
        <f t="shared" si="1"/>
        <v>0</v>
      </c>
      <c r="L27" s="46"/>
      <c r="M27" s="41"/>
      <c r="N27" s="65"/>
      <c r="O27" s="64"/>
    </row>
    <row r="28" spans="1:15" ht="20" customHeight="1" x14ac:dyDescent="0.45">
      <c r="A28" s="36">
        <v>23</v>
      </c>
      <c r="B28" s="62"/>
      <c r="C28" s="63"/>
      <c r="D28" s="64"/>
      <c r="E28" s="42"/>
      <c r="F28" s="43"/>
      <c r="G28" s="44">
        <f t="shared" si="0"/>
        <v>0</v>
      </c>
      <c r="H28" s="41"/>
      <c r="I28" s="42"/>
      <c r="J28" s="43"/>
      <c r="K28" s="44">
        <f t="shared" si="1"/>
        <v>0</v>
      </c>
      <c r="L28" s="46"/>
      <c r="M28" s="41"/>
      <c r="N28" s="65"/>
      <c r="O28" s="64"/>
    </row>
    <row r="29" spans="1:15" ht="20" customHeight="1" x14ac:dyDescent="0.45">
      <c r="A29" s="36">
        <v>24</v>
      </c>
      <c r="B29" s="62"/>
      <c r="C29" s="63"/>
      <c r="D29" s="64"/>
      <c r="E29" s="42"/>
      <c r="F29" s="43"/>
      <c r="G29" s="44">
        <f t="shared" si="0"/>
        <v>0</v>
      </c>
      <c r="H29" s="41"/>
      <c r="I29" s="42"/>
      <c r="J29" s="43"/>
      <c r="K29" s="44">
        <f t="shared" si="1"/>
        <v>0</v>
      </c>
      <c r="L29" s="46"/>
      <c r="M29" s="41"/>
      <c r="N29" s="65"/>
      <c r="O29" s="64"/>
    </row>
    <row r="30" spans="1:15" ht="20" customHeight="1" x14ac:dyDescent="0.45">
      <c r="A30" s="36">
        <v>25</v>
      </c>
      <c r="B30" s="62"/>
      <c r="C30" s="63"/>
      <c r="D30" s="64"/>
      <c r="E30" s="42"/>
      <c r="F30" s="43"/>
      <c r="G30" s="44">
        <f t="shared" si="0"/>
        <v>0</v>
      </c>
      <c r="H30" s="41"/>
      <c r="I30" s="42"/>
      <c r="J30" s="43"/>
      <c r="K30" s="44">
        <f t="shared" si="1"/>
        <v>0</v>
      </c>
      <c r="L30" s="46"/>
      <c r="M30" s="41"/>
      <c r="N30" s="65"/>
      <c r="O30" s="64"/>
    </row>
    <row r="31" spans="1:15" ht="20" customHeight="1" x14ac:dyDescent="0.45">
      <c r="A31" s="36">
        <v>26</v>
      </c>
      <c r="B31" s="62"/>
      <c r="C31" s="63"/>
      <c r="D31" s="64"/>
      <c r="E31" s="42"/>
      <c r="F31" s="43"/>
      <c r="G31" s="44">
        <f t="shared" si="0"/>
        <v>0</v>
      </c>
      <c r="H31" s="41"/>
      <c r="I31" s="42"/>
      <c r="J31" s="43"/>
      <c r="K31" s="44">
        <f t="shared" si="1"/>
        <v>0</v>
      </c>
      <c r="L31" s="46"/>
      <c r="M31" s="41"/>
      <c r="N31" s="65"/>
      <c r="O31" s="64"/>
    </row>
    <row r="32" spans="1:15" ht="22" customHeight="1" x14ac:dyDescent="0.45">
      <c r="A32" s="33"/>
      <c r="B32" s="70" t="s">
        <v>61</v>
      </c>
      <c r="C32" s="71"/>
      <c r="D32" s="72"/>
      <c r="E32" s="12">
        <f>SUM(E6:E31)</f>
        <v>75000</v>
      </c>
      <c r="F32" s="13">
        <f>SUM(F6:F31)</f>
        <v>0</v>
      </c>
      <c r="G32" s="14">
        <f t="shared" si="0"/>
        <v>75000</v>
      </c>
      <c r="H32" s="11"/>
      <c r="I32" s="12">
        <f>SUM(I6:I31)</f>
        <v>200000</v>
      </c>
      <c r="J32" s="13">
        <f>SUM(J6:J31)</f>
        <v>0</v>
      </c>
      <c r="K32" s="14">
        <f t="shared" si="1"/>
        <v>200000</v>
      </c>
      <c r="L32" s="14">
        <f>G32+K32</f>
        <v>275000</v>
      </c>
      <c r="M32" s="11"/>
      <c r="N32" s="14">
        <f>SUM(N6:N31)</f>
        <v>0</v>
      </c>
      <c r="O32" s="15"/>
    </row>
    <row r="33" spans="1:15" ht="20" customHeight="1" x14ac:dyDescent="0.45">
      <c r="A33" s="34"/>
      <c r="B33" s="16"/>
      <c r="C33" s="16"/>
      <c r="D33" s="16"/>
      <c r="E33" s="17"/>
      <c r="F33" s="18"/>
      <c r="G33" s="19"/>
      <c r="H33" s="16"/>
      <c r="I33" s="20">
        <f>E32+I32</f>
        <v>275000</v>
      </c>
      <c r="J33" s="21">
        <f>F32+J32</f>
        <v>0</v>
      </c>
      <c r="K33" s="19"/>
      <c r="L33" s="22">
        <f>K34/6</f>
        <v>325666.66666666669</v>
      </c>
      <c r="M33" s="16"/>
      <c r="N33" s="19"/>
      <c r="O33" s="23"/>
    </row>
    <row r="34" spans="1:15" ht="20" customHeight="1" x14ac:dyDescent="0.45">
      <c r="A34" s="34"/>
      <c r="B34" s="16"/>
      <c r="C34" s="16"/>
      <c r="D34" s="16"/>
      <c r="E34" s="17"/>
      <c r="F34" s="18"/>
      <c r="G34" s="19"/>
      <c r="H34" s="16"/>
      <c r="I34" s="20">
        <f>'5월5일'!I28+I33</f>
        <v>1457000</v>
      </c>
      <c r="J34" s="21">
        <f>'5월5일'!J28+J33</f>
        <v>497000</v>
      </c>
      <c r="K34" s="22">
        <f>'5월5일'!K28+L32</f>
        <v>1954000</v>
      </c>
      <c r="L34" s="69">
        <f>'5월5일'!L28+L32</f>
        <v>1954000</v>
      </c>
      <c r="M34" s="64"/>
      <c r="N34" s="19"/>
      <c r="O34" s="24">
        <f>'5월5일'!O28+N32</f>
        <v>0</v>
      </c>
    </row>
    <row r="35" spans="1:15" ht="20" customHeight="1" x14ac:dyDescent="0.45">
      <c r="A35" s="35"/>
      <c r="B35" s="25"/>
      <c r="C35" s="25"/>
      <c r="D35" s="25"/>
      <c r="E35" s="26"/>
      <c r="F35" s="27"/>
      <c r="G35" s="28"/>
      <c r="H35" s="25"/>
      <c r="I35" s="29">
        <f>I34/K34</f>
        <v>0.74564994882292734</v>
      </c>
      <c r="J35" s="27"/>
      <c r="K35" s="28"/>
      <c r="L35" s="28"/>
      <c r="M35" s="25"/>
      <c r="N35" s="28"/>
      <c r="O35" s="30"/>
    </row>
  </sheetData>
  <mergeCells count="57">
    <mergeCell ref="N7:O7"/>
    <mergeCell ref="B23:D23"/>
    <mergeCell ref="B8:D8"/>
    <mergeCell ref="N16:O16"/>
    <mergeCell ref="B17:D17"/>
    <mergeCell ref="B13:D13"/>
    <mergeCell ref="B9:D9"/>
    <mergeCell ref="B11:D11"/>
    <mergeCell ref="B14:D14"/>
    <mergeCell ref="N11:O11"/>
    <mergeCell ref="N20:O20"/>
    <mergeCell ref="N5:O5"/>
    <mergeCell ref="N23:O23"/>
    <mergeCell ref="B6:D6"/>
    <mergeCell ref="N8:O8"/>
    <mergeCell ref="N14:O14"/>
    <mergeCell ref="B20:D20"/>
    <mergeCell ref="N17:O17"/>
    <mergeCell ref="B5:D5"/>
    <mergeCell ref="B7:D7"/>
    <mergeCell ref="N9:O9"/>
    <mergeCell ref="N22:O22"/>
    <mergeCell ref="B10:D10"/>
    <mergeCell ref="B19:D19"/>
    <mergeCell ref="N21:O21"/>
    <mergeCell ref="N12:O12"/>
    <mergeCell ref="N18:O18"/>
    <mergeCell ref="B26:D26"/>
    <mergeCell ref="N19:O19"/>
    <mergeCell ref="B25:D25"/>
    <mergeCell ref="N13:O13"/>
    <mergeCell ref="N31:O31"/>
    <mergeCell ref="B16:D16"/>
    <mergeCell ref="B30:D30"/>
    <mergeCell ref="B15:D15"/>
    <mergeCell ref="B24:D24"/>
    <mergeCell ref="N29:O29"/>
    <mergeCell ref="B29:D29"/>
    <mergeCell ref="B28:D28"/>
    <mergeCell ref="N26:O26"/>
    <mergeCell ref="N25:O25"/>
    <mergeCell ref="A1:O3"/>
    <mergeCell ref="N27:O27"/>
    <mergeCell ref="B12:D12"/>
    <mergeCell ref="L34:M34"/>
    <mergeCell ref="N30:O30"/>
    <mergeCell ref="N15:O15"/>
    <mergeCell ref="B31:D31"/>
    <mergeCell ref="N6:O6"/>
    <mergeCell ref="B22:D22"/>
    <mergeCell ref="N24:O24"/>
    <mergeCell ref="B18:D18"/>
    <mergeCell ref="B27:D27"/>
    <mergeCell ref="B21:D21"/>
    <mergeCell ref="B32:D32"/>
    <mergeCell ref="N10:O10"/>
    <mergeCell ref="N28:O28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9"/>
  <sheetViews>
    <sheetView workbookViewId="0">
      <selection activeCell="G39" sqref="G39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93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94</v>
      </c>
      <c r="C6" s="63"/>
      <c r="D6" s="64"/>
      <c r="E6" s="42">
        <v>55000</v>
      </c>
      <c r="F6" s="43"/>
      <c r="G6" s="44">
        <f t="shared" ref="G6:G26" si="0">E6+F6</f>
        <v>55000</v>
      </c>
      <c r="H6" s="45" t="s">
        <v>95</v>
      </c>
      <c r="I6" s="42">
        <v>15000</v>
      </c>
      <c r="J6" s="43"/>
      <c r="K6" s="44">
        <f t="shared" ref="K6:K26" si="1">I6+J6</f>
        <v>15000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96</v>
      </c>
      <c r="C7" s="63"/>
      <c r="D7" s="64"/>
      <c r="E7" s="42">
        <v>15000</v>
      </c>
      <c r="F7" s="43"/>
      <c r="G7" s="44">
        <f t="shared" si="0"/>
        <v>15000</v>
      </c>
      <c r="H7" s="41" t="s">
        <v>97</v>
      </c>
      <c r="I7" s="42">
        <v>130000</v>
      </c>
      <c r="J7" s="43"/>
      <c r="K7" s="44">
        <f t="shared" si="1"/>
        <v>130000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70000</v>
      </c>
      <c r="F26" s="13">
        <f>SUM(F6:F25)</f>
        <v>0</v>
      </c>
      <c r="G26" s="14">
        <f t="shared" si="0"/>
        <v>70000</v>
      </c>
      <c r="H26" s="11"/>
      <c r="I26" s="12">
        <f>SUM(I6:I25)</f>
        <v>145000</v>
      </c>
      <c r="J26" s="13">
        <f>SUM(J6:J25)</f>
        <v>0</v>
      </c>
      <c r="K26" s="14">
        <f t="shared" si="1"/>
        <v>145000</v>
      </c>
      <c r="L26" s="14">
        <f>G26+K26</f>
        <v>215000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215000</v>
      </c>
      <c r="J27" s="21">
        <f>F26+J26</f>
        <v>0</v>
      </c>
      <c r="K27" s="19"/>
      <c r="L27" s="22">
        <f>K28/7</f>
        <v>309857.14285714284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'5월6일'!I34+I27</f>
        <v>1672000</v>
      </c>
      <c r="J28" s="21">
        <f>'5월6일'!J34+J27</f>
        <v>497000</v>
      </c>
      <c r="K28" s="22">
        <f>'5월6일'!K34+L26</f>
        <v>2169000</v>
      </c>
      <c r="L28" s="69">
        <f>'5월6일'!L34+L26</f>
        <v>2169000</v>
      </c>
      <c r="M28" s="64"/>
      <c r="N28" s="19"/>
      <c r="O28" s="24">
        <f>'5월6일'!O34+N26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0.77086214845550949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98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99</v>
      </c>
      <c r="C6" s="63"/>
      <c r="D6" s="64"/>
      <c r="E6" s="42">
        <v>29000</v>
      </c>
      <c r="F6" s="43"/>
      <c r="G6" s="44">
        <f t="shared" ref="G6:G26" si="0">E6+F6</f>
        <v>29000</v>
      </c>
      <c r="H6" s="45" t="s">
        <v>100</v>
      </c>
      <c r="I6" s="42">
        <v>50000</v>
      </c>
      <c r="J6" s="43"/>
      <c r="K6" s="44">
        <f t="shared" ref="K6:K26" si="1">I6+J6</f>
        <v>50000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101</v>
      </c>
      <c r="C7" s="63"/>
      <c r="D7" s="64"/>
      <c r="E7" s="42">
        <v>49000</v>
      </c>
      <c r="F7" s="43"/>
      <c r="G7" s="44">
        <f t="shared" si="0"/>
        <v>49000</v>
      </c>
      <c r="H7" s="41" t="s">
        <v>102</v>
      </c>
      <c r="I7" s="42">
        <v>74000</v>
      </c>
      <c r="J7" s="43"/>
      <c r="K7" s="44">
        <f t="shared" si="1"/>
        <v>74000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78000</v>
      </c>
      <c r="F26" s="13">
        <f>SUM(F6:F25)</f>
        <v>0</v>
      </c>
      <c r="G26" s="14">
        <f t="shared" si="0"/>
        <v>78000</v>
      </c>
      <c r="H26" s="11"/>
      <c r="I26" s="12">
        <f>SUM(I6:I25)</f>
        <v>124000</v>
      </c>
      <c r="J26" s="13">
        <f>SUM(J6:J25)</f>
        <v>0</v>
      </c>
      <c r="K26" s="14">
        <f t="shared" si="1"/>
        <v>124000</v>
      </c>
      <c r="L26" s="14">
        <f>G26+K26</f>
        <v>202000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202000</v>
      </c>
      <c r="J27" s="21">
        <f>F26+J26</f>
        <v>0</v>
      </c>
      <c r="K27" s="19"/>
      <c r="L27" s="22">
        <f>K28/8</f>
        <v>296375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'5월7일'!I28+I27</f>
        <v>1874000</v>
      </c>
      <c r="J28" s="21">
        <f>'5월7일'!J28+J27</f>
        <v>497000</v>
      </c>
      <c r="K28" s="22">
        <f>'5월7일'!K28+L26</f>
        <v>2371000</v>
      </c>
      <c r="L28" s="69">
        <f>'5월7일'!L28+L26</f>
        <v>2371000</v>
      </c>
      <c r="M28" s="64"/>
      <c r="N28" s="19"/>
      <c r="O28" s="24">
        <f>'5월7일'!O28+N26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0.7903838043019823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103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104</v>
      </c>
      <c r="C6" s="63"/>
      <c r="D6" s="64"/>
      <c r="E6" s="42">
        <v>49000</v>
      </c>
      <c r="F6" s="43"/>
      <c r="G6" s="44">
        <f t="shared" ref="G6:G26" si="0">E6+F6</f>
        <v>49000</v>
      </c>
      <c r="H6" s="45" t="s">
        <v>105</v>
      </c>
      <c r="I6" s="42">
        <v>170000</v>
      </c>
      <c r="J6" s="43"/>
      <c r="K6" s="44">
        <f t="shared" ref="K6:K26" si="1">I6+J6</f>
        <v>170000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106</v>
      </c>
      <c r="C7" s="63"/>
      <c r="D7" s="64"/>
      <c r="E7" s="42">
        <v>55000</v>
      </c>
      <c r="F7" s="43"/>
      <c r="G7" s="44">
        <f t="shared" si="0"/>
        <v>55000</v>
      </c>
      <c r="H7" s="41" t="s">
        <v>107</v>
      </c>
      <c r="I7" s="42">
        <v>70000</v>
      </c>
      <c r="J7" s="43"/>
      <c r="K7" s="44">
        <f t="shared" si="1"/>
        <v>70000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108</v>
      </c>
      <c r="C8" s="63"/>
      <c r="D8" s="64"/>
      <c r="E8" s="42">
        <v>50000</v>
      </c>
      <c r="F8" s="43"/>
      <c r="G8" s="44">
        <f t="shared" si="0"/>
        <v>50000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154000</v>
      </c>
      <c r="F26" s="13">
        <f>SUM(F6:F25)</f>
        <v>0</v>
      </c>
      <c r="G26" s="14">
        <f t="shared" si="0"/>
        <v>154000</v>
      </c>
      <c r="H26" s="11"/>
      <c r="I26" s="12">
        <f>SUM(I6:I25)</f>
        <v>240000</v>
      </c>
      <c r="J26" s="13">
        <f>SUM(J6:J25)</f>
        <v>0</v>
      </c>
      <c r="K26" s="14">
        <f t="shared" si="1"/>
        <v>240000</v>
      </c>
      <c r="L26" s="14">
        <f>G26+K26</f>
        <v>394000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394000</v>
      </c>
      <c r="J27" s="21">
        <f>F26+J26</f>
        <v>0</v>
      </c>
      <c r="K27" s="19"/>
      <c r="L27" s="22">
        <f>K28/9</f>
        <v>307222.22222222225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'5월8일'!I28+I27</f>
        <v>2268000</v>
      </c>
      <c r="J28" s="21">
        <f>'5월8일'!J28+J27</f>
        <v>497000</v>
      </c>
      <c r="K28" s="22">
        <f>'5월8일'!K28+L26</f>
        <v>2765000</v>
      </c>
      <c r="L28" s="69">
        <f>'5월8일'!L28+L26</f>
        <v>2765000</v>
      </c>
      <c r="M28" s="64"/>
      <c r="N28" s="19"/>
      <c r="O28" s="24">
        <f>'5월8일'!O28+N26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0.82025316455696207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109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110</v>
      </c>
      <c r="C6" s="63"/>
      <c r="D6" s="64"/>
      <c r="E6" s="42">
        <v>59000</v>
      </c>
      <c r="F6" s="43"/>
      <c r="G6" s="44">
        <f t="shared" ref="G6:G26" si="0">E6+F6</f>
        <v>59000</v>
      </c>
      <c r="H6" s="45" t="s">
        <v>111</v>
      </c>
      <c r="I6" s="42">
        <v>120000</v>
      </c>
      <c r="J6" s="43">
        <v>100000</v>
      </c>
      <c r="K6" s="44">
        <f t="shared" ref="K6:K26" si="1">I6+J6</f>
        <v>220000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112</v>
      </c>
      <c r="C7" s="63"/>
      <c r="D7" s="64"/>
      <c r="E7" s="42">
        <v>69000</v>
      </c>
      <c r="F7" s="43"/>
      <c r="G7" s="44">
        <f t="shared" si="0"/>
        <v>69000</v>
      </c>
      <c r="H7" s="41" t="s">
        <v>113</v>
      </c>
      <c r="I7" s="42">
        <v>40000</v>
      </c>
      <c r="J7" s="43"/>
      <c r="K7" s="44">
        <f t="shared" si="1"/>
        <v>40000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114</v>
      </c>
      <c r="C8" s="63"/>
      <c r="D8" s="64"/>
      <c r="E8" s="42"/>
      <c r="F8" s="43">
        <v>130000</v>
      </c>
      <c r="G8" s="44">
        <f t="shared" si="0"/>
        <v>130000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128000</v>
      </c>
      <c r="F26" s="13">
        <f>SUM(F6:F25)</f>
        <v>130000</v>
      </c>
      <c r="G26" s="14">
        <f t="shared" si="0"/>
        <v>258000</v>
      </c>
      <c r="H26" s="11"/>
      <c r="I26" s="12">
        <f>SUM(I6:I25)</f>
        <v>160000</v>
      </c>
      <c r="J26" s="13">
        <f>SUM(J6:J25)</f>
        <v>100000</v>
      </c>
      <c r="K26" s="14">
        <f t="shared" si="1"/>
        <v>260000</v>
      </c>
      <c r="L26" s="14">
        <f>G26+K26</f>
        <v>518000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288000</v>
      </c>
      <c r="J27" s="21">
        <f>F26+J26</f>
        <v>230000</v>
      </c>
      <c r="K27" s="19"/>
      <c r="L27" s="22">
        <f>K28/10</f>
        <v>328300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'5월9일'!I28+I27</f>
        <v>2556000</v>
      </c>
      <c r="J28" s="21">
        <f>'5월9일'!J28+J27</f>
        <v>727000</v>
      </c>
      <c r="K28" s="22">
        <f>'5월9일'!K28+L26</f>
        <v>3283000</v>
      </c>
      <c r="L28" s="69">
        <f>'5월9일'!L28+L26</f>
        <v>3283000</v>
      </c>
      <c r="M28" s="64"/>
      <c r="N28" s="19"/>
      <c r="O28" s="24">
        <f>'5월9일'!O28+N26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0.77855619859884251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115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116</v>
      </c>
      <c r="C6" s="63"/>
      <c r="D6" s="64"/>
      <c r="E6" s="42">
        <v>55000</v>
      </c>
      <c r="F6" s="43"/>
      <c r="G6" s="44">
        <f t="shared" ref="G6:G26" si="0">E6+F6</f>
        <v>55000</v>
      </c>
      <c r="H6" s="45" t="s">
        <v>117</v>
      </c>
      <c r="I6" s="42"/>
      <c r="J6" s="43">
        <v>30000</v>
      </c>
      <c r="K6" s="44">
        <f t="shared" ref="K6:K26" si="1">I6+J6</f>
        <v>30000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118</v>
      </c>
      <c r="C7" s="63"/>
      <c r="D7" s="64"/>
      <c r="E7" s="42">
        <v>15000</v>
      </c>
      <c r="F7" s="43"/>
      <c r="G7" s="44">
        <f t="shared" si="0"/>
        <v>15000</v>
      </c>
      <c r="H7" s="41" t="s">
        <v>119</v>
      </c>
      <c r="I7" s="42">
        <v>35000</v>
      </c>
      <c r="J7" s="43"/>
      <c r="K7" s="44">
        <f t="shared" si="1"/>
        <v>35000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70000</v>
      </c>
      <c r="F26" s="13">
        <f>SUM(F6:F25)</f>
        <v>0</v>
      </c>
      <c r="G26" s="14">
        <f t="shared" si="0"/>
        <v>70000</v>
      </c>
      <c r="H26" s="11"/>
      <c r="I26" s="12">
        <f>SUM(I6:I25)</f>
        <v>35000</v>
      </c>
      <c r="J26" s="13">
        <f>SUM(J6:J25)</f>
        <v>30000</v>
      </c>
      <c r="K26" s="14">
        <f t="shared" si="1"/>
        <v>65000</v>
      </c>
      <c r="L26" s="14">
        <f>G26+K26</f>
        <v>135000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105000</v>
      </c>
      <c r="J27" s="21">
        <f>F26+J26</f>
        <v>30000</v>
      </c>
      <c r="K27" s="19"/>
      <c r="L27" s="22">
        <f>K28/11</f>
        <v>310727.27272727271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'5월10일'!I28+I27</f>
        <v>2661000</v>
      </c>
      <c r="J28" s="21">
        <f>'5월10일'!J28+J27</f>
        <v>757000</v>
      </c>
      <c r="K28" s="22">
        <f>'5월10일'!K28+L26</f>
        <v>3418000</v>
      </c>
      <c r="L28" s="69">
        <f>'5월10일'!L28+L26</f>
        <v>3418000</v>
      </c>
      <c r="M28" s="64"/>
      <c r="N28" s="19"/>
      <c r="O28" s="24">
        <f>'5월10일'!O28+N26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0.77852545348156821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120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121</v>
      </c>
      <c r="C6" s="63"/>
      <c r="D6" s="64"/>
      <c r="E6" s="42">
        <v>20000</v>
      </c>
      <c r="F6" s="43"/>
      <c r="G6" s="44">
        <f t="shared" ref="G6:G26" si="0">E6+F6</f>
        <v>20000</v>
      </c>
      <c r="H6" s="45" t="s">
        <v>122</v>
      </c>
      <c r="I6" s="42"/>
      <c r="J6" s="43">
        <v>70000</v>
      </c>
      <c r="K6" s="44">
        <f t="shared" ref="K6:K26" si="1">I6+J6</f>
        <v>70000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123</v>
      </c>
      <c r="C7" s="63"/>
      <c r="D7" s="64"/>
      <c r="E7" s="42"/>
      <c r="F7" s="43">
        <v>10000</v>
      </c>
      <c r="G7" s="44">
        <f t="shared" si="0"/>
        <v>10000</v>
      </c>
      <c r="H7" s="41" t="s">
        <v>124</v>
      </c>
      <c r="I7" s="42"/>
      <c r="J7" s="43">
        <v>30000</v>
      </c>
      <c r="K7" s="44">
        <f t="shared" si="1"/>
        <v>30000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125</v>
      </c>
      <c r="C8" s="63"/>
      <c r="D8" s="64"/>
      <c r="E8" s="42">
        <v>15000</v>
      </c>
      <c r="F8" s="43"/>
      <c r="G8" s="44">
        <f t="shared" si="0"/>
        <v>15000</v>
      </c>
      <c r="H8" s="41" t="s">
        <v>126</v>
      </c>
      <c r="I8" s="42">
        <v>90000</v>
      </c>
      <c r="J8" s="43"/>
      <c r="K8" s="44">
        <f t="shared" si="1"/>
        <v>90000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35000</v>
      </c>
      <c r="F26" s="13">
        <f>SUM(F6:F25)</f>
        <v>10000</v>
      </c>
      <c r="G26" s="14">
        <f t="shared" si="0"/>
        <v>45000</v>
      </c>
      <c r="H26" s="11"/>
      <c r="I26" s="12">
        <f>SUM(I6:I25)</f>
        <v>90000</v>
      </c>
      <c r="J26" s="13">
        <f>SUM(J6:J25)</f>
        <v>100000</v>
      </c>
      <c r="K26" s="14">
        <f t="shared" si="1"/>
        <v>190000</v>
      </c>
      <c r="L26" s="14">
        <f>G26+K26</f>
        <v>235000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125000</v>
      </c>
      <c r="J27" s="21">
        <f>F26+J26</f>
        <v>110000</v>
      </c>
      <c r="K27" s="19"/>
      <c r="L27" s="22">
        <f>K28/12</f>
        <v>304416.66666666669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'5월11일'!I28+I27</f>
        <v>2786000</v>
      </c>
      <c r="J28" s="21">
        <f>'5월11일'!J28+J27</f>
        <v>867000</v>
      </c>
      <c r="K28" s="22">
        <f>'5월11일'!K28+L26</f>
        <v>3653000</v>
      </c>
      <c r="L28" s="69">
        <f>'5월11일'!L28+L26</f>
        <v>3653000</v>
      </c>
      <c r="M28" s="64"/>
      <c r="N28" s="19"/>
      <c r="O28" s="24">
        <f>'5월11일'!O28+N26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0.76266082671776625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127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128</v>
      </c>
      <c r="C6" s="63"/>
      <c r="D6" s="64"/>
      <c r="E6" s="42">
        <v>105000</v>
      </c>
      <c r="F6" s="43"/>
      <c r="G6" s="44">
        <f t="shared" ref="G6:G26" si="0">E6+F6</f>
        <v>105000</v>
      </c>
      <c r="H6" s="45" t="s">
        <v>129</v>
      </c>
      <c r="I6" s="42">
        <v>55000</v>
      </c>
      <c r="J6" s="43">
        <v>20000</v>
      </c>
      <c r="K6" s="44">
        <f t="shared" ref="K6:K26" si="1">I6+J6</f>
        <v>75000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130</v>
      </c>
      <c r="C7" s="63"/>
      <c r="D7" s="64"/>
      <c r="E7" s="42">
        <v>40000</v>
      </c>
      <c r="F7" s="43"/>
      <c r="G7" s="44">
        <f t="shared" si="0"/>
        <v>40000</v>
      </c>
      <c r="H7" s="41" t="s">
        <v>131</v>
      </c>
      <c r="I7" s="42"/>
      <c r="J7" s="43">
        <v>50000</v>
      </c>
      <c r="K7" s="44">
        <f t="shared" si="1"/>
        <v>50000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132</v>
      </c>
      <c r="C8" s="63"/>
      <c r="D8" s="64"/>
      <c r="E8" s="42">
        <v>68000</v>
      </c>
      <c r="F8" s="43"/>
      <c r="G8" s="44">
        <f t="shared" si="0"/>
        <v>68000</v>
      </c>
      <c r="H8" s="41" t="s">
        <v>133</v>
      </c>
      <c r="I8" s="42">
        <v>39000</v>
      </c>
      <c r="J8" s="43"/>
      <c r="K8" s="44">
        <f t="shared" si="1"/>
        <v>39000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213000</v>
      </c>
      <c r="F26" s="13">
        <f>SUM(F6:F25)</f>
        <v>0</v>
      </c>
      <c r="G26" s="14">
        <f t="shared" si="0"/>
        <v>213000</v>
      </c>
      <c r="H26" s="11"/>
      <c r="I26" s="12">
        <f>SUM(I6:I25)</f>
        <v>94000</v>
      </c>
      <c r="J26" s="13">
        <f>SUM(J6:J25)</f>
        <v>70000</v>
      </c>
      <c r="K26" s="14">
        <f t="shared" si="1"/>
        <v>164000</v>
      </c>
      <c r="L26" s="14">
        <f>G26+K26</f>
        <v>377000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307000</v>
      </c>
      <c r="J27" s="21">
        <f>F26+J26</f>
        <v>70000</v>
      </c>
      <c r="K27" s="19"/>
      <c r="L27" s="22">
        <f>K28/13</f>
        <v>310000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'5월12일'!I28+I27</f>
        <v>3093000</v>
      </c>
      <c r="J28" s="21">
        <f>'5월12일'!J28+J27</f>
        <v>937000</v>
      </c>
      <c r="K28" s="22">
        <f>'5월12일'!K28+L26</f>
        <v>4030000</v>
      </c>
      <c r="L28" s="69">
        <f>'5월12일'!L28+L26</f>
        <v>4030000</v>
      </c>
      <c r="M28" s="64"/>
      <c r="N28" s="19"/>
      <c r="O28" s="24">
        <f>'5월12일'!O28+N26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0.76749379652605454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134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135</v>
      </c>
      <c r="C6" s="63"/>
      <c r="D6" s="64"/>
      <c r="E6" s="42">
        <v>30000</v>
      </c>
      <c r="F6" s="43"/>
      <c r="G6" s="44">
        <f t="shared" ref="G6:G26" si="0">E6+F6</f>
        <v>30000</v>
      </c>
      <c r="H6" s="45" t="s">
        <v>136</v>
      </c>
      <c r="I6" s="42"/>
      <c r="J6" s="43">
        <v>18000</v>
      </c>
      <c r="K6" s="44">
        <f t="shared" ref="K6:K26" si="1">I6+J6</f>
        <v>18000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137</v>
      </c>
      <c r="C7" s="63"/>
      <c r="D7" s="64"/>
      <c r="E7" s="42">
        <v>35000</v>
      </c>
      <c r="F7" s="43"/>
      <c r="G7" s="44">
        <f t="shared" si="0"/>
        <v>35000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65000</v>
      </c>
      <c r="F26" s="13">
        <f>SUM(F6:F25)</f>
        <v>0</v>
      </c>
      <c r="G26" s="14">
        <f t="shared" si="0"/>
        <v>65000</v>
      </c>
      <c r="H26" s="11"/>
      <c r="I26" s="12">
        <f>SUM(I6:I25)</f>
        <v>0</v>
      </c>
      <c r="J26" s="13">
        <f>SUM(J6:J25)</f>
        <v>18000</v>
      </c>
      <c r="K26" s="14">
        <f t="shared" si="1"/>
        <v>18000</v>
      </c>
      <c r="L26" s="14">
        <f>G26+K26</f>
        <v>83000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65000</v>
      </c>
      <c r="J27" s="21">
        <f>F26+J26</f>
        <v>18000</v>
      </c>
      <c r="K27" s="19"/>
      <c r="L27" s="22">
        <f>K28/14</f>
        <v>293785.71428571426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'5월13일'!I28+I27</f>
        <v>3158000</v>
      </c>
      <c r="J28" s="21">
        <f>'5월13일'!J28+J27</f>
        <v>955000</v>
      </c>
      <c r="K28" s="22">
        <f>'5월13일'!K28+L26</f>
        <v>4113000</v>
      </c>
      <c r="L28" s="69">
        <f>'5월13일'!L28+L26</f>
        <v>4113000</v>
      </c>
      <c r="M28" s="64"/>
      <c r="N28" s="19"/>
      <c r="O28" s="24">
        <f>'5월13일'!O28+N26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0.76780938487721861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138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139</v>
      </c>
      <c r="C6" s="63"/>
      <c r="D6" s="64"/>
      <c r="E6" s="42">
        <v>35000</v>
      </c>
      <c r="F6" s="43"/>
      <c r="G6" s="44">
        <f t="shared" ref="G6:G26" si="0">E6+F6</f>
        <v>35000</v>
      </c>
      <c r="H6" s="45" t="s">
        <v>140</v>
      </c>
      <c r="I6" s="42">
        <v>60000</v>
      </c>
      <c r="J6" s="43"/>
      <c r="K6" s="44">
        <f t="shared" ref="K6:K26" si="1">I6+J6</f>
        <v>60000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141</v>
      </c>
      <c r="C7" s="63"/>
      <c r="D7" s="64"/>
      <c r="E7" s="42"/>
      <c r="F7" s="43">
        <v>40000</v>
      </c>
      <c r="G7" s="44">
        <f t="shared" si="0"/>
        <v>40000</v>
      </c>
      <c r="H7" s="41" t="s">
        <v>142</v>
      </c>
      <c r="I7" s="42">
        <v>45000</v>
      </c>
      <c r="J7" s="43"/>
      <c r="K7" s="44">
        <f t="shared" si="1"/>
        <v>45000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68</v>
      </c>
      <c r="C8" s="63"/>
      <c r="D8" s="64"/>
      <c r="E8" s="42">
        <v>29000</v>
      </c>
      <c r="F8" s="43"/>
      <c r="G8" s="44">
        <f t="shared" si="0"/>
        <v>29000</v>
      </c>
      <c r="H8" s="41" t="s">
        <v>143</v>
      </c>
      <c r="I8" s="42">
        <v>39000</v>
      </c>
      <c r="J8" s="43"/>
      <c r="K8" s="44">
        <f t="shared" si="1"/>
        <v>39000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144</v>
      </c>
      <c r="C9" s="63"/>
      <c r="D9" s="64"/>
      <c r="E9" s="42">
        <v>120000</v>
      </c>
      <c r="F9" s="43"/>
      <c r="G9" s="44">
        <f t="shared" si="0"/>
        <v>120000</v>
      </c>
      <c r="H9" s="41" t="s">
        <v>145</v>
      </c>
      <c r="I9" s="42"/>
      <c r="J9" s="43">
        <v>140000</v>
      </c>
      <c r="K9" s="44">
        <f t="shared" si="1"/>
        <v>140000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146</v>
      </c>
      <c r="C10" s="63"/>
      <c r="D10" s="64"/>
      <c r="E10" s="42">
        <v>178000</v>
      </c>
      <c r="F10" s="43"/>
      <c r="G10" s="44">
        <f t="shared" si="0"/>
        <v>178000</v>
      </c>
      <c r="H10" s="41" t="s">
        <v>147</v>
      </c>
      <c r="I10" s="42">
        <v>20000</v>
      </c>
      <c r="J10" s="43"/>
      <c r="K10" s="44">
        <f t="shared" si="1"/>
        <v>20000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362000</v>
      </c>
      <c r="F26" s="13">
        <f>SUM(F6:F25)</f>
        <v>40000</v>
      </c>
      <c r="G26" s="14">
        <f t="shared" si="0"/>
        <v>402000</v>
      </c>
      <c r="H26" s="11"/>
      <c r="I26" s="12">
        <f>SUM(I6:I25)</f>
        <v>164000</v>
      </c>
      <c r="J26" s="13">
        <f>SUM(J6:J25)</f>
        <v>140000</v>
      </c>
      <c r="K26" s="14">
        <f t="shared" si="1"/>
        <v>304000</v>
      </c>
      <c r="L26" s="14">
        <f>G26+K26</f>
        <v>706000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526000</v>
      </c>
      <c r="J27" s="21">
        <f>F26+J26</f>
        <v>180000</v>
      </c>
      <c r="K27" s="19"/>
      <c r="L27" s="22">
        <f>K28/15</f>
        <v>321266.66666666669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'5월14일'!I28+I27</f>
        <v>3684000</v>
      </c>
      <c r="J28" s="21">
        <f>'5월14일'!J28+J27</f>
        <v>1135000</v>
      </c>
      <c r="K28" s="22">
        <f>'5월14일'!K28+L26</f>
        <v>4819000</v>
      </c>
      <c r="L28" s="69">
        <f>'5월14일'!L28+L26</f>
        <v>4819000</v>
      </c>
      <c r="M28" s="64"/>
      <c r="N28" s="19"/>
      <c r="O28" s="24">
        <f>'5월14일'!O28+N26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0.76447395725254197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148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149</v>
      </c>
      <c r="C6" s="63"/>
      <c r="D6" s="64"/>
      <c r="E6" s="42">
        <v>20000</v>
      </c>
      <c r="F6" s="43"/>
      <c r="G6" s="44">
        <f t="shared" ref="G6:G26" si="0">E6+F6</f>
        <v>20000</v>
      </c>
      <c r="H6" s="45" t="s">
        <v>150</v>
      </c>
      <c r="I6" s="42">
        <v>60000</v>
      </c>
      <c r="J6" s="43"/>
      <c r="K6" s="44">
        <f t="shared" ref="K6:K26" si="1">I6+J6</f>
        <v>60000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151</v>
      </c>
      <c r="C7" s="63"/>
      <c r="D7" s="64"/>
      <c r="E7" s="42">
        <v>105000</v>
      </c>
      <c r="F7" s="43"/>
      <c r="G7" s="44">
        <f t="shared" si="0"/>
        <v>105000</v>
      </c>
      <c r="H7" s="41" t="s">
        <v>152</v>
      </c>
      <c r="I7" s="42">
        <v>110000</v>
      </c>
      <c r="J7" s="43"/>
      <c r="K7" s="44">
        <f t="shared" si="1"/>
        <v>110000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153</v>
      </c>
      <c r="C8" s="63"/>
      <c r="D8" s="64"/>
      <c r="E8" s="42">
        <v>150000</v>
      </c>
      <c r="F8" s="43"/>
      <c r="G8" s="44">
        <f t="shared" si="0"/>
        <v>150000</v>
      </c>
      <c r="H8" s="41" t="s">
        <v>154</v>
      </c>
      <c r="I8" s="42"/>
      <c r="J8" s="43">
        <v>234000</v>
      </c>
      <c r="K8" s="44">
        <f t="shared" si="1"/>
        <v>234000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155</v>
      </c>
      <c r="C9" s="63"/>
      <c r="D9" s="64"/>
      <c r="E9" s="42"/>
      <c r="F9" s="43">
        <v>230000</v>
      </c>
      <c r="G9" s="44">
        <f t="shared" si="0"/>
        <v>230000</v>
      </c>
      <c r="H9" s="41" t="s">
        <v>156</v>
      </c>
      <c r="I9" s="42">
        <v>90000</v>
      </c>
      <c r="J9" s="43"/>
      <c r="K9" s="44">
        <f t="shared" si="1"/>
        <v>90000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157</v>
      </c>
      <c r="C10" s="63"/>
      <c r="D10" s="64"/>
      <c r="E10" s="42"/>
      <c r="F10" s="43">
        <v>240000</v>
      </c>
      <c r="G10" s="44">
        <f t="shared" si="0"/>
        <v>240000</v>
      </c>
      <c r="H10" s="41" t="s">
        <v>158</v>
      </c>
      <c r="I10" s="42"/>
      <c r="J10" s="43">
        <v>40000</v>
      </c>
      <c r="K10" s="44">
        <f t="shared" si="1"/>
        <v>40000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 t="s">
        <v>159</v>
      </c>
      <c r="C11" s="63"/>
      <c r="D11" s="64"/>
      <c r="E11" s="42">
        <v>29000</v>
      </c>
      <c r="F11" s="43"/>
      <c r="G11" s="44">
        <f t="shared" si="0"/>
        <v>29000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304000</v>
      </c>
      <c r="F26" s="13">
        <f>SUM(F6:F25)</f>
        <v>470000</v>
      </c>
      <c r="G26" s="14">
        <f t="shared" si="0"/>
        <v>774000</v>
      </c>
      <c r="H26" s="11"/>
      <c r="I26" s="12">
        <f>SUM(I6:I25)</f>
        <v>260000</v>
      </c>
      <c r="J26" s="13">
        <f>SUM(J6:J25)</f>
        <v>274000</v>
      </c>
      <c r="K26" s="14">
        <f t="shared" si="1"/>
        <v>534000</v>
      </c>
      <c r="L26" s="14">
        <f>G26+K26</f>
        <v>1308000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564000</v>
      </c>
      <c r="J27" s="21">
        <f>F26+J26</f>
        <v>744000</v>
      </c>
      <c r="K27" s="19"/>
      <c r="L27" s="22">
        <f>K28/16</f>
        <v>382937.5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'5월15일'!I28+I27</f>
        <v>4248000</v>
      </c>
      <c r="J28" s="21">
        <f>'5월15일'!J28+J27</f>
        <v>1879000</v>
      </c>
      <c r="K28" s="22">
        <f>'5월15일'!K28+L26</f>
        <v>6127000</v>
      </c>
      <c r="L28" s="69">
        <f>'5월15일'!L28+L26</f>
        <v>6127000</v>
      </c>
      <c r="M28" s="64"/>
      <c r="N28" s="19"/>
      <c r="O28" s="24">
        <f>'5월15일'!O28+N26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0.69332462869267175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160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161</v>
      </c>
      <c r="C6" s="63"/>
      <c r="D6" s="64"/>
      <c r="E6" s="42">
        <v>20000</v>
      </c>
      <c r="F6" s="43"/>
      <c r="G6" s="44">
        <f t="shared" ref="G6:G26" si="0">E6+F6</f>
        <v>20000</v>
      </c>
      <c r="H6" s="45" t="s">
        <v>162</v>
      </c>
      <c r="I6" s="42"/>
      <c r="J6" s="43">
        <v>50000</v>
      </c>
      <c r="K6" s="44">
        <f t="shared" ref="K6:K26" si="1">I6+J6</f>
        <v>50000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163</v>
      </c>
      <c r="C7" s="63"/>
      <c r="D7" s="64"/>
      <c r="E7" s="42">
        <v>49000</v>
      </c>
      <c r="F7" s="43"/>
      <c r="G7" s="44">
        <f t="shared" si="0"/>
        <v>49000</v>
      </c>
      <c r="H7" s="41" t="s">
        <v>164</v>
      </c>
      <c r="I7" s="42">
        <v>30000</v>
      </c>
      <c r="J7" s="43"/>
      <c r="K7" s="44">
        <f t="shared" si="1"/>
        <v>30000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165</v>
      </c>
      <c r="C8" s="63"/>
      <c r="D8" s="64"/>
      <c r="E8" s="42">
        <v>40000</v>
      </c>
      <c r="F8" s="43"/>
      <c r="G8" s="44">
        <f t="shared" si="0"/>
        <v>40000</v>
      </c>
      <c r="H8" s="41" t="s">
        <v>166</v>
      </c>
      <c r="I8" s="42"/>
      <c r="J8" s="43">
        <v>10000</v>
      </c>
      <c r="K8" s="44">
        <f t="shared" si="1"/>
        <v>10000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167</v>
      </c>
      <c r="C9" s="63"/>
      <c r="D9" s="64"/>
      <c r="E9" s="42">
        <v>60000</v>
      </c>
      <c r="F9" s="43"/>
      <c r="G9" s="44">
        <f t="shared" si="0"/>
        <v>60000</v>
      </c>
      <c r="H9" s="41" t="s">
        <v>168</v>
      </c>
      <c r="I9" s="42">
        <v>30000</v>
      </c>
      <c r="J9" s="43"/>
      <c r="K9" s="44">
        <f t="shared" si="1"/>
        <v>30000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169</v>
      </c>
      <c r="C10" s="63"/>
      <c r="D10" s="64"/>
      <c r="E10" s="42">
        <v>120000</v>
      </c>
      <c r="F10" s="43">
        <v>10000</v>
      </c>
      <c r="G10" s="44">
        <f t="shared" si="0"/>
        <v>130000</v>
      </c>
      <c r="H10" s="41" t="s">
        <v>170</v>
      </c>
      <c r="I10" s="42"/>
      <c r="J10" s="43">
        <v>35000</v>
      </c>
      <c r="K10" s="44">
        <f t="shared" si="1"/>
        <v>35000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 t="s">
        <v>171</v>
      </c>
      <c r="C11" s="63"/>
      <c r="D11" s="64"/>
      <c r="E11" s="42">
        <v>95000</v>
      </c>
      <c r="F11" s="43"/>
      <c r="G11" s="44">
        <f t="shared" si="0"/>
        <v>95000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384000</v>
      </c>
      <c r="F26" s="13">
        <f>SUM(F6:F25)</f>
        <v>10000</v>
      </c>
      <c r="G26" s="14">
        <f t="shared" si="0"/>
        <v>394000</v>
      </c>
      <c r="H26" s="11"/>
      <c r="I26" s="12">
        <f>SUM(I6:I25)</f>
        <v>60000</v>
      </c>
      <c r="J26" s="13">
        <f>SUM(J6:J25)</f>
        <v>95000</v>
      </c>
      <c r="K26" s="14">
        <f t="shared" si="1"/>
        <v>155000</v>
      </c>
      <c r="L26" s="14">
        <f>G26+K26</f>
        <v>549000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444000</v>
      </c>
      <c r="J27" s="21">
        <f>F26+J26</f>
        <v>105000</v>
      </c>
      <c r="K27" s="19"/>
      <c r="L27" s="22">
        <f>K28/17</f>
        <v>392705.8823529412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'5월16일'!I28+I27</f>
        <v>4692000</v>
      </c>
      <c r="J28" s="21">
        <f>'5월16일'!J28+J27</f>
        <v>1984000</v>
      </c>
      <c r="K28" s="22">
        <f>'5월16일'!K28+L26</f>
        <v>6676000</v>
      </c>
      <c r="L28" s="69">
        <f>'5월16일'!L28+L26</f>
        <v>6676000</v>
      </c>
      <c r="M28" s="64"/>
      <c r="N28" s="19"/>
      <c r="O28" s="24">
        <f>'5월16일'!O28+N26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0.70281605751947274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172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173</v>
      </c>
      <c r="C6" s="63"/>
      <c r="D6" s="64"/>
      <c r="E6" s="42">
        <v>55000</v>
      </c>
      <c r="F6" s="43"/>
      <c r="G6" s="44">
        <f t="shared" ref="G6:G26" si="0">E6+F6</f>
        <v>55000</v>
      </c>
      <c r="H6" s="45" t="s">
        <v>174</v>
      </c>
      <c r="I6" s="42"/>
      <c r="J6" s="43">
        <v>29000</v>
      </c>
      <c r="K6" s="44">
        <f t="shared" ref="K6:K26" si="1">I6+J6</f>
        <v>29000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175</v>
      </c>
      <c r="C7" s="63"/>
      <c r="D7" s="64"/>
      <c r="E7" s="42"/>
      <c r="F7" s="43">
        <v>60000</v>
      </c>
      <c r="G7" s="44">
        <f t="shared" si="0"/>
        <v>60000</v>
      </c>
      <c r="H7" s="41" t="s">
        <v>176</v>
      </c>
      <c r="I7" s="42">
        <v>35000</v>
      </c>
      <c r="J7" s="43"/>
      <c r="K7" s="44">
        <f t="shared" si="1"/>
        <v>35000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177</v>
      </c>
      <c r="C8" s="63"/>
      <c r="D8" s="64"/>
      <c r="E8" s="42"/>
      <c r="F8" s="43">
        <v>50000</v>
      </c>
      <c r="G8" s="44">
        <f t="shared" si="0"/>
        <v>50000</v>
      </c>
      <c r="H8" s="41" t="s">
        <v>178</v>
      </c>
      <c r="I8" s="42">
        <v>80000</v>
      </c>
      <c r="J8" s="43"/>
      <c r="K8" s="44">
        <f t="shared" si="1"/>
        <v>80000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55000</v>
      </c>
      <c r="F26" s="13">
        <f>SUM(F6:F25)</f>
        <v>110000</v>
      </c>
      <c r="G26" s="14">
        <f t="shared" si="0"/>
        <v>165000</v>
      </c>
      <c r="H26" s="11"/>
      <c r="I26" s="12">
        <f>SUM(I6:I25)</f>
        <v>115000</v>
      </c>
      <c r="J26" s="13">
        <f>SUM(J6:J25)</f>
        <v>29000</v>
      </c>
      <c r="K26" s="14">
        <f t="shared" si="1"/>
        <v>144000</v>
      </c>
      <c r="L26" s="14">
        <f>G26+K26</f>
        <v>309000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170000</v>
      </c>
      <c r="J27" s="21">
        <f>F26+J26</f>
        <v>139000</v>
      </c>
      <c r="K27" s="19"/>
      <c r="L27" s="22">
        <f>K28/18</f>
        <v>388055.55555555556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'5월17일'!I28+I27</f>
        <v>4862000</v>
      </c>
      <c r="J28" s="21">
        <f>'5월17일'!J28+J27</f>
        <v>2123000</v>
      </c>
      <c r="K28" s="22">
        <f>'5월17일'!K28+L26</f>
        <v>6985000</v>
      </c>
      <c r="L28" s="69">
        <f>'5월17일'!L28+L26</f>
        <v>6985000</v>
      </c>
      <c r="M28" s="64"/>
      <c r="N28" s="19"/>
      <c r="O28" s="24">
        <f>'5월17일'!O28+N26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0.69606299212598421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179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180</v>
      </c>
      <c r="C6" s="63"/>
      <c r="D6" s="64"/>
      <c r="E6" s="42"/>
      <c r="F6" s="43">
        <v>26000</v>
      </c>
      <c r="G6" s="44">
        <f t="shared" ref="G6:G26" si="0">E6+F6</f>
        <v>26000</v>
      </c>
      <c r="H6" s="45" t="s">
        <v>181</v>
      </c>
      <c r="I6" s="42">
        <v>10000</v>
      </c>
      <c r="J6" s="43">
        <v>5000</v>
      </c>
      <c r="K6" s="44">
        <f t="shared" ref="K6:K26" si="1">I6+J6</f>
        <v>15000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181</v>
      </c>
      <c r="C7" s="63"/>
      <c r="D7" s="64"/>
      <c r="E7" s="42">
        <v>15000</v>
      </c>
      <c r="F7" s="43"/>
      <c r="G7" s="44">
        <f t="shared" si="0"/>
        <v>15000</v>
      </c>
      <c r="H7" s="41" t="s">
        <v>124</v>
      </c>
      <c r="I7" s="42">
        <v>28000</v>
      </c>
      <c r="J7" s="43"/>
      <c r="K7" s="44">
        <f t="shared" si="1"/>
        <v>28000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182</v>
      </c>
      <c r="C8" s="63"/>
      <c r="D8" s="64"/>
      <c r="E8" s="42">
        <v>25000</v>
      </c>
      <c r="F8" s="43"/>
      <c r="G8" s="44">
        <f t="shared" si="0"/>
        <v>25000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40000</v>
      </c>
      <c r="F26" s="13">
        <f>SUM(F6:F25)</f>
        <v>26000</v>
      </c>
      <c r="G26" s="14">
        <f t="shared" si="0"/>
        <v>66000</v>
      </c>
      <c r="H26" s="11"/>
      <c r="I26" s="12">
        <f>SUM(I6:I25)</f>
        <v>38000</v>
      </c>
      <c r="J26" s="13">
        <f>SUM(J6:J25)</f>
        <v>5000</v>
      </c>
      <c r="K26" s="14">
        <f t="shared" si="1"/>
        <v>43000</v>
      </c>
      <c r="L26" s="14">
        <f>G26+K26</f>
        <v>109000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78000</v>
      </c>
      <c r="J27" s="21">
        <f>F26+J26</f>
        <v>31000</v>
      </c>
      <c r="K27" s="19"/>
      <c r="L27" s="22">
        <f>K28/19</f>
        <v>373368.42105263157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'5월18일'!I28+I27</f>
        <v>4940000</v>
      </c>
      <c r="J28" s="21">
        <f>'5월18일'!J28+J27</f>
        <v>2154000</v>
      </c>
      <c r="K28" s="22">
        <f>'5월18일'!K28+L26</f>
        <v>7094000</v>
      </c>
      <c r="L28" s="69">
        <f>'5월18일'!L28+L26</f>
        <v>7094000</v>
      </c>
      <c r="M28" s="64"/>
      <c r="N28" s="19"/>
      <c r="O28" s="24">
        <f>'5월18일'!O28+N26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0.69636312376656329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183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184</v>
      </c>
      <c r="C6" s="63"/>
      <c r="D6" s="64"/>
      <c r="E6" s="42">
        <v>175000</v>
      </c>
      <c r="F6" s="43"/>
      <c r="G6" s="44">
        <f t="shared" ref="G6:G26" si="0">E6+F6</f>
        <v>175000</v>
      </c>
      <c r="H6" s="45" t="s">
        <v>185</v>
      </c>
      <c r="I6" s="42">
        <v>80000</v>
      </c>
      <c r="J6" s="43"/>
      <c r="K6" s="44">
        <f t="shared" ref="K6:K26" si="1">I6+J6</f>
        <v>80000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83</v>
      </c>
      <c r="C7" s="63"/>
      <c r="D7" s="64"/>
      <c r="E7" s="42">
        <v>10000</v>
      </c>
      <c r="F7" s="43"/>
      <c r="G7" s="44">
        <f t="shared" si="0"/>
        <v>10000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185000</v>
      </c>
      <c r="F26" s="13">
        <f>SUM(F6:F25)</f>
        <v>0</v>
      </c>
      <c r="G26" s="14">
        <f t="shared" si="0"/>
        <v>185000</v>
      </c>
      <c r="H26" s="11"/>
      <c r="I26" s="12">
        <f>SUM(I6:I25)</f>
        <v>80000</v>
      </c>
      <c r="J26" s="13">
        <f>SUM(J6:J25)</f>
        <v>0</v>
      </c>
      <c r="K26" s="14">
        <f t="shared" si="1"/>
        <v>80000</v>
      </c>
      <c r="L26" s="14">
        <f>G26+K26</f>
        <v>265000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265000</v>
      </c>
      <c r="J27" s="21">
        <f>F26+J26</f>
        <v>0</v>
      </c>
      <c r="K27" s="19"/>
      <c r="L27" s="22">
        <f>K28/20</f>
        <v>367950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'5월19일'!I28+I27</f>
        <v>5205000</v>
      </c>
      <c r="J28" s="21">
        <f>'5월19일'!J28+J27</f>
        <v>2154000</v>
      </c>
      <c r="K28" s="22">
        <f>'5월19일'!K28+L26</f>
        <v>7359000</v>
      </c>
      <c r="L28" s="69">
        <f>'5월19일'!L28+L26</f>
        <v>7359000</v>
      </c>
      <c r="M28" s="64"/>
      <c r="N28" s="19"/>
      <c r="O28" s="24">
        <f>'5월19일'!O28+N26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0.70729718711781497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186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187</v>
      </c>
      <c r="C6" s="63"/>
      <c r="D6" s="64"/>
      <c r="E6" s="42">
        <v>100000</v>
      </c>
      <c r="F6" s="43"/>
      <c r="G6" s="44">
        <f t="shared" ref="G6:G26" si="0">E6+F6</f>
        <v>100000</v>
      </c>
      <c r="H6" s="45" t="s">
        <v>188</v>
      </c>
      <c r="I6" s="42"/>
      <c r="J6" s="43">
        <v>10000</v>
      </c>
      <c r="K6" s="44">
        <f t="shared" ref="K6:K26" si="1">I6+J6</f>
        <v>10000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189</v>
      </c>
      <c r="C7" s="63"/>
      <c r="D7" s="64"/>
      <c r="E7" s="42">
        <v>18000</v>
      </c>
      <c r="F7" s="43"/>
      <c r="G7" s="44">
        <f t="shared" si="0"/>
        <v>18000</v>
      </c>
      <c r="H7" s="41" t="s">
        <v>190</v>
      </c>
      <c r="I7" s="42">
        <v>20000</v>
      </c>
      <c r="J7" s="43"/>
      <c r="K7" s="44">
        <f t="shared" si="1"/>
        <v>20000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191</v>
      </c>
      <c r="C8" s="63"/>
      <c r="D8" s="64"/>
      <c r="E8" s="42">
        <v>70000</v>
      </c>
      <c r="F8" s="43"/>
      <c r="G8" s="44">
        <f t="shared" si="0"/>
        <v>70000</v>
      </c>
      <c r="H8" s="41" t="s">
        <v>192</v>
      </c>
      <c r="I8" s="42">
        <v>160000</v>
      </c>
      <c r="J8" s="43"/>
      <c r="K8" s="44">
        <f t="shared" si="1"/>
        <v>160000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193</v>
      </c>
      <c r="C9" s="63"/>
      <c r="D9" s="64"/>
      <c r="E9" s="42"/>
      <c r="F9" s="43">
        <v>15000</v>
      </c>
      <c r="G9" s="44">
        <f t="shared" si="0"/>
        <v>15000</v>
      </c>
      <c r="H9" s="41" t="s">
        <v>194</v>
      </c>
      <c r="I9" s="42">
        <v>40000</v>
      </c>
      <c r="J9" s="43"/>
      <c r="K9" s="44">
        <f t="shared" si="1"/>
        <v>40000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188000</v>
      </c>
      <c r="F26" s="13">
        <f>SUM(F6:F25)</f>
        <v>15000</v>
      </c>
      <c r="G26" s="14">
        <f t="shared" si="0"/>
        <v>203000</v>
      </c>
      <c r="H26" s="11"/>
      <c r="I26" s="12">
        <f>SUM(I6:I25)</f>
        <v>220000</v>
      </c>
      <c r="J26" s="13">
        <f>SUM(J6:J25)</f>
        <v>10000</v>
      </c>
      <c r="K26" s="14">
        <f t="shared" si="1"/>
        <v>230000</v>
      </c>
      <c r="L26" s="14">
        <f>G26+K26</f>
        <v>433000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408000</v>
      </c>
      <c r="J27" s="21">
        <f>F26+J26</f>
        <v>25000</v>
      </c>
      <c r="K27" s="19"/>
      <c r="L27" s="22">
        <f>K28/21</f>
        <v>371047.61904761905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'5월20일'!I28+I27</f>
        <v>5613000</v>
      </c>
      <c r="J28" s="21">
        <f>'5월20일'!J28+J27</f>
        <v>2179000</v>
      </c>
      <c r="K28" s="22">
        <f>'5월20일'!K28+L26</f>
        <v>7792000</v>
      </c>
      <c r="L28" s="69">
        <f>'5월20일'!L28+L26</f>
        <v>7792000</v>
      </c>
      <c r="M28" s="64"/>
      <c r="N28" s="19"/>
      <c r="O28" s="24">
        <f>'5월20일'!O28+N26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0.72035420944558526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195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196</v>
      </c>
      <c r="C6" s="63"/>
      <c r="D6" s="64"/>
      <c r="E6" s="42"/>
      <c r="F6" s="43">
        <v>10000</v>
      </c>
      <c r="G6" s="44">
        <f t="shared" ref="G6:G26" si="0">E6+F6</f>
        <v>10000</v>
      </c>
      <c r="H6" s="45" t="s">
        <v>197</v>
      </c>
      <c r="I6" s="42">
        <v>110000</v>
      </c>
      <c r="J6" s="43"/>
      <c r="K6" s="44">
        <f t="shared" ref="K6:K26" si="1">I6+J6</f>
        <v>110000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198</v>
      </c>
      <c r="C7" s="63"/>
      <c r="D7" s="64"/>
      <c r="E7" s="42">
        <v>110000</v>
      </c>
      <c r="F7" s="43"/>
      <c r="G7" s="44">
        <f t="shared" si="0"/>
        <v>110000</v>
      </c>
      <c r="H7" s="41" t="s">
        <v>199</v>
      </c>
      <c r="I7" s="42">
        <v>39000</v>
      </c>
      <c r="J7" s="43"/>
      <c r="K7" s="44">
        <f t="shared" si="1"/>
        <v>39000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149</v>
      </c>
      <c r="C8" s="63"/>
      <c r="D8" s="64"/>
      <c r="E8" s="42">
        <v>20000</v>
      </c>
      <c r="F8" s="43"/>
      <c r="G8" s="44">
        <f t="shared" si="0"/>
        <v>20000</v>
      </c>
      <c r="H8" s="41" t="s">
        <v>200</v>
      </c>
      <c r="I8" s="42">
        <v>20000</v>
      </c>
      <c r="J8" s="43"/>
      <c r="K8" s="44">
        <f t="shared" si="1"/>
        <v>20000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201</v>
      </c>
      <c r="C9" s="63"/>
      <c r="D9" s="64"/>
      <c r="E9" s="42">
        <v>110000</v>
      </c>
      <c r="F9" s="43"/>
      <c r="G9" s="44">
        <f t="shared" si="0"/>
        <v>110000</v>
      </c>
      <c r="H9" s="41" t="s">
        <v>202</v>
      </c>
      <c r="I9" s="42">
        <v>80000</v>
      </c>
      <c r="J9" s="43"/>
      <c r="K9" s="44">
        <f t="shared" si="1"/>
        <v>80000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240000</v>
      </c>
      <c r="F26" s="13">
        <f>SUM(F6:F25)</f>
        <v>10000</v>
      </c>
      <c r="G26" s="14">
        <f t="shared" si="0"/>
        <v>250000</v>
      </c>
      <c r="H26" s="11"/>
      <c r="I26" s="12">
        <f>SUM(I6:I25)</f>
        <v>249000</v>
      </c>
      <c r="J26" s="13">
        <f>SUM(J6:J25)</f>
        <v>0</v>
      </c>
      <c r="K26" s="14">
        <f t="shared" si="1"/>
        <v>249000</v>
      </c>
      <c r="L26" s="14">
        <f>G26+K26</f>
        <v>499000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489000</v>
      </c>
      <c r="J27" s="21">
        <f>F26+J26</f>
        <v>10000</v>
      </c>
      <c r="K27" s="19"/>
      <c r="L27" s="22">
        <f>K28/22</f>
        <v>376863.63636363635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'5월21일'!I28+I27</f>
        <v>6102000</v>
      </c>
      <c r="J28" s="21">
        <f>'5월21일'!J28+J27</f>
        <v>2189000</v>
      </c>
      <c r="K28" s="22">
        <f>'5월21일'!K28+L26</f>
        <v>8291000</v>
      </c>
      <c r="L28" s="69">
        <f>'5월21일'!L28+L26</f>
        <v>8291000</v>
      </c>
      <c r="M28" s="64"/>
      <c r="N28" s="19"/>
      <c r="O28" s="24">
        <f>'5월21일'!O28+N26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0.73597877216258589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203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204</v>
      </c>
      <c r="C6" s="63"/>
      <c r="D6" s="64"/>
      <c r="E6" s="42"/>
      <c r="F6" s="43">
        <v>10000</v>
      </c>
      <c r="G6" s="44">
        <f t="shared" ref="G6:G26" si="0">E6+F6</f>
        <v>10000</v>
      </c>
      <c r="H6" s="45" t="s">
        <v>205</v>
      </c>
      <c r="I6" s="42">
        <v>60000</v>
      </c>
      <c r="J6" s="43"/>
      <c r="K6" s="44">
        <f t="shared" ref="K6:K26" si="1">I6+J6</f>
        <v>60000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206</v>
      </c>
      <c r="C7" s="63"/>
      <c r="D7" s="64"/>
      <c r="E7" s="42">
        <v>30000</v>
      </c>
      <c r="F7" s="43"/>
      <c r="G7" s="44">
        <f t="shared" si="0"/>
        <v>30000</v>
      </c>
      <c r="H7" s="41" t="s">
        <v>207</v>
      </c>
      <c r="I7" s="42">
        <v>80000</v>
      </c>
      <c r="J7" s="43"/>
      <c r="K7" s="44">
        <f t="shared" si="1"/>
        <v>80000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30000</v>
      </c>
      <c r="F26" s="13">
        <f>SUM(F6:F25)</f>
        <v>10000</v>
      </c>
      <c r="G26" s="14">
        <f t="shared" si="0"/>
        <v>40000</v>
      </c>
      <c r="H26" s="11"/>
      <c r="I26" s="12">
        <f>SUM(I6:I25)</f>
        <v>140000</v>
      </c>
      <c r="J26" s="13">
        <f>SUM(J6:J25)</f>
        <v>0</v>
      </c>
      <c r="K26" s="14">
        <f t="shared" si="1"/>
        <v>140000</v>
      </c>
      <c r="L26" s="14">
        <f>G26+K26</f>
        <v>180000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170000</v>
      </c>
      <c r="J27" s="21">
        <f>F26+J26</f>
        <v>10000</v>
      </c>
      <c r="K27" s="19"/>
      <c r="L27" s="22">
        <f>K28/23</f>
        <v>368304.34782608697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'5월22일'!I28+I27</f>
        <v>6272000</v>
      </c>
      <c r="J28" s="21">
        <f>'5월22일'!J28+J27</f>
        <v>2199000</v>
      </c>
      <c r="K28" s="22">
        <f>'5월22일'!K28+L26</f>
        <v>8471000</v>
      </c>
      <c r="L28" s="69">
        <f>'5월22일'!L28+L26</f>
        <v>8471000</v>
      </c>
      <c r="M28" s="64"/>
      <c r="N28" s="19"/>
      <c r="O28" s="24">
        <f>'5월22일'!O28+N26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0.74040845236689878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208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209</v>
      </c>
      <c r="C6" s="63"/>
      <c r="D6" s="64"/>
      <c r="E6" s="42">
        <v>30000</v>
      </c>
      <c r="F6" s="43"/>
      <c r="G6" s="44">
        <f t="shared" ref="G6:G26" si="0">E6+F6</f>
        <v>30000</v>
      </c>
      <c r="H6" s="45" t="s">
        <v>210</v>
      </c>
      <c r="I6" s="42">
        <v>195000</v>
      </c>
      <c r="J6" s="43">
        <v>60000</v>
      </c>
      <c r="K6" s="44">
        <f t="shared" ref="K6:K26" si="1">I6+J6</f>
        <v>255000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211</v>
      </c>
      <c r="C7" s="63"/>
      <c r="D7" s="64"/>
      <c r="E7" s="42">
        <v>20000</v>
      </c>
      <c r="F7" s="43"/>
      <c r="G7" s="44">
        <f t="shared" si="0"/>
        <v>20000</v>
      </c>
      <c r="H7" s="41" t="s">
        <v>212</v>
      </c>
      <c r="I7" s="42">
        <v>60000</v>
      </c>
      <c r="J7" s="43"/>
      <c r="K7" s="44">
        <f t="shared" si="1"/>
        <v>60000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213</v>
      </c>
      <c r="C8" s="63"/>
      <c r="D8" s="64"/>
      <c r="E8" s="42"/>
      <c r="F8" s="43">
        <v>250000</v>
      </c>
      <c r="G8" s="44">
        <f t="shared" si="0"/>
        <v>250000</v>
      </c>
      <c r="H8" s="41" t="s">
        <v>214</v>
      </c>
      <c r="I8" s="42"/>
      <c r="J8" s="43">
        <v>65000</v>
      </c>
      <c r="K8" s="44">
        <f t="shared" si="1"/>
        <v>65000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215</v>
      </c>
      <c r="C9" s="63"/>
      <c r="D9" s="64"/>
      <c r="E9" s="42">
        <v>115000</v>
      </c>
      <c r="F9" s="43"/>
      <c r="G9" s="44">
        <f t="shared" si="0"/>
        <v>115000</v>
      </c>
      <c r="H9" s="41" t="s">
        <v>216</v>
      </c>
      <c r="I9" s="42">
        <v>50000</v>
      </c>
      <c r="J9" s="43"/>
      <c r="K9" s="44">
        <f t="shared" si="1"/>
        <v>50000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165000</v>
      </c>
      <c r="F26" s="13">
        <f>SUM(F6:F25)</f>
        <v>250000</v>
      </c>
      <c r="G26" s="14">
        <f t="shared" si="0"/>
        <v>415000</v>
      </c>
      <c r="H26" s="11"/>
      <c r="I26" s="12">
        <f>SUM(I6:I25)</f>
        <v>305000</v>
      </c>
      <c r="J26" s="13">
        <f>SUM(J6:J25)</f>
        <v>125000</v>
      </c>
      <c r="K26" s="14">
        <f t="shared" si="1"/>
        <v>430000</v>
      </c>
      <c r="L26" s="14">
        <f>G26+K26</f>
        <v>845000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470000</v>
      </c>
      <c r="J27" s="21">
        <f>F26+J26</f>
        <v>375000</v>
      </c>
      <c r="K27" s="19"/>
      <c r="L27" s="22">
        <f>K28/24</f>
        <v>388166.66666666669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'5월23일'!I28+I27</f>
        <v>6742000</v>
      </c>
      <c r="J28" s="21">
        <f>'5월23일'!J28+J27</f>
        <v>2574000</v>
      </c>
      <c r="K28" s="22">
        <f>'5월23일'!K28+L26</f>
        <v>9316000</v>
      </c>
      <c r="L28" s="69">
        <f>'5월23일'!L28+L26</f>
        <v>9316000</v>
      </c>
      <c r="M28" s="64"/>
      <c r="N28" s="19"/>
      <c r="O28" s="24">
        <f>'5월23일'!O28+N26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0.72370115929583512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217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218</v>
      </c>
      <c r="C6" s="63"/>
      <c r="D6" s="64"/>
      <c r="E6" s="42"/>
      <c r="F6" s="43">
        <v>58000</v>
      </c>
      <c r="G6" s="44">
        <f t="shared" ref="G6:G26" si="0">E6+F6</f>
        <v>58000</v>
      </c>
      <c r="H6" s="45" t="s">
        <v>219</v>
      </c>
      <c r="I6" s="42">
        <v>90000</v>
      </c>
      <c r="J6" s="43"/>
      <c r="K6" s="44">
        <f t="shared" ref="K6:K26" si="1">I6+J6</f>
        <v>90000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/>
      <c r="C7" s="63"/>
      <c r="D7" s="64"/>
      <c r="E7" s="42"/>
      <c r="F7" s="43"/>
      <c r="G7" s="44">
        <f t="shared" si="0"/>
        <v>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0</v>
      </c>
      <c r="F26" s="13">
        <f>SUM(F6:F25)</f>
        <v>58000</v>
      </c>
      <c r="G26" s="14">
        <f t="shared" si="0"/>
        <v>58000</v>
      </c>
      <c r="H26" s="11"/>
      <c r="I26" s="12">
        <f>SUM(I6:I25)</f>
        <v>90000</v>
      </c>
      <c r="J26" s="13">
        <f>SUM(J6:J25)</f>
        <v>0</v>
      </c>
      <c r="K26" s="14">
        <f t="shared" si="1"/>
        <v>90000</v>
      </c>
      <c r="L26" s="14">
        <f>G26+K26</f>
        <v>148000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90000</v>
      </c>
      <c r="J27" s="21">
        <f>F26+J26</f>
        <v>58000</v>
      </c>
      <c r="K27" s="19"/>
      <c r="L27" s="22">
        <f>K28/25</f>
        <v>378560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'5월24일'!I28+I27</f>
        <v>6832000</v>
      </c>
      <c r="J28" s="21">
        <f>'5월24일'!J28+J27</f>
        <v>2632000</v>
      </c>
      <c r="K28" s="22">
        <f>'5월24일'!K28+L26</f>
        <v>9464000</v>
      </c>
      <c r="L28" s="69">
        <f>'5월24일'!L28+L26</f>
        <v>9464000</v>
      </c>
      <c r="M28" s="64"/>
      <c r="N28" s="19"/>
      <c r="O28" s="24">
        <f>'5월24일'!O28+N26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0.72189349112426038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220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221</v>
      </c>
      <c r="C6" s="63"/>
      <c r="D6" s="64"/>
      <c r="E6" s="42">
        <v>10000</v>
      </c>
      <c r="F6" s="43"/>
      <c r="G6" s="44">
        <f t="shared" ref="G6:G26" si="0">E6+F6</f>
        <v>10000</v>
      </c>
      <c r="H6" s="45" t="s">
        <v>222</v>
      </c>
      <c r="I6" s="42">
        <v>30000</v>
      </c>
      <c r="J6" s="43"/>
      <c r="K6" s="44">
        <f t="shared" ref="K6:K26" si="1">I6+J6</f>
        <v>30000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223</v>
      </c>
      <c r="C7" s="63"/>
      <c r="D7" s="64"/>
      <c r="E7" s="42">
        <v>50000</v>
      </c>
      <c r="F7" s="43"/>
      <c r="G7" s="44">
        <f t="shared" si="0"/>
        <v>50000</v>
      </c>
      <c r="H7" s="41" t="s">
        <v>224</v>
      </c>
      <c r="I7" s="42">
        <v>32000</v>
      </c>
      <c r="J7" s="43"/>
      <c r="K7" s="44">
        <f t="shared" si="1"/>
        <v>32000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225</v>
      </c>
      <c r="C8" s="63"/>
      <c r="D8" s="64"/>
      <c r="E8" s="42">
        <v>39000</v>
      </c>
      <c r="F8" s="43"/>
      <c r="G8" s="44">
        <f t="shared" si="0"/>
        <v>39000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99000</v>
      </c>
      <c r="F26" s="13">
        <f>SUM(F6:F25)</f>
        <v>0</v>
      </c>
      <c r="G26" s="14">
        <f t="shared" si="0"/>
        <v>99000</v>
      </c>
      <c r="H26" s="11"/>
      <c r="I26" s="12">
        <f>SUM(I6:I25)</f>
        <v>62000</v>
      </c>
      <c r="J26" s="13">
        <f>SUM(J6:J25)</f>
        <v>0</v>
      </c>
      <c r="K26" s="14">
        <f t="shared" si="1"/>
        <v>62000</v>
      </c>
      <c r="L26" s="14">
        <f>G26+K26</f>
        <v>161000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161000</v>
      </c>
      <c r="J27" s="21">
        <f>F26+J26</f>
        <v>0</v>
      </c>
      <c r="K27" s="19"/>
      <c r="L27" s="22">
        <f>K28/26</f>
        <v>370192.30769230769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'5월25일'!I28+I27</f>
        <v>6993000</v>
      </c>
      <c r="J28" s="21">
        <f>'5월25일'!J28+J27</f>
        <v>2632000</v>
      </c>
      <c r="K28" s="22">
        <f>'5월25일'!K28+L26</f>
        <v>9625000</v>
      </c>
      <c r="L28" s="69">
        <f>'5월25일'!L28+L26</f>
        <v>9625000</v>
      </c>
      <c r="M28" s="64"/>
      <c r="N28" s="19"/>
      <c r="O28" s="24">
        <f>'5월25일'!O28+N26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0.72654545454545449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226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227</v>
      </c>
      <c r="C6" s="63"/>
      <c r="D6" s="64"/>
      <c r="E6" s="42">
        <v>100000</v>
      </c>
      <c r="F6" s="43">
        <v>15000</v>
      </c>
      <c r="G6" s="44">
        <f t="shared" ref="G6:G26" si="0">E6+F6</f>
        <v>115000</v>
      </c>
      <c r="H6" s="45" t="s">
        <v>228</v>
      </c>
      <c r="I6" s="42">
        <v>25000</v>
      </c>
      <c r="J6" s="43"/>
      <c r="K6" s="44">
        <f t="shared" ref="K6:K26" si="1">I6+J6</f>
        <v>25000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229</v>
      </c>
      <c r="C7" s="63"/>
      <c r="D7" s="64"/>
      <c r="E7" s="42"/>
      <c r="F7" s="43">
        <v>20000</v>
      </c>
      <c r="G7" s="44">
        <f t="shared" si="0"/>
        <v>20000</v>
      </c>
      <c r="H7" s="41" t="s">
        <v>230</v>
      </c>
      <c r="I7" s="42">
        <v>20000</v>
      </c>
      <c r="J7" s="43"/>
      <c r="K7" s="44">
        <f t="shared" si="1"/>
        <v>20000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231</v>
      </c>
      <c r="C8" s="63"/>
      <c r="D8" s="64"/>
      <c r="E8" s="42">
        <v>20000</v>
      </c>
      <c r="F8" s="43"/>
      <c r="G8" s="44">
        <f t="shared" si="0"/>
        <v>20000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120000</v>
      </c>
      <c r="F26" s="13">
        <f>SUM(F6:F25)</f>
        <v>35000</v>
      </c>
      <c r="G26" s="14">
        <f t="shared" si="0"/>
        <v>155000</v>
      </c>
      <c r="H26" s="11"/>
      <c r="I26" s="12">
        <f>SUM(I6:I25)</f>
        <v>45000</v>
      </c>
      <c r="J26" s="13">
        <f>SUM(J6:J25)</f>
        <v>0</v>
      </c>
      <c r="K26" s="14">
        <f t="shared" si="1"/>
        <v>45000</v>
      </c>
      <c r="L26" s="14">
        <f>G26+K26</f>
        <v>200000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165000</v>
      </c>
      <c r="J27" s="21">
        <f>F26+J26</f>
        <v>35000</v>
      </c>
      <c r="K27" s="19"/>
      <c r="L27" s="22">
        <f>K28/27</f>
        <v>363888.88888888888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'5월26일'!I28+I27</f>
        <v>7158000</v>
      </c>
      <c r="J28" s="21">
        <f>'5월26일'!J28+J27</f>
        <v>2667000</v>
      </c>
      <c r="K28" s="22">
        <f>'5월26일'!K28+L26</f>
        <v>9825000</v>
      </c>
      <c r="L28" s="69">
        <f>'5월26일'!L28+L26</f>
        <v>9825000</v>
      </c>
      <c r="M28" s="64"/>
      <c r="N28" s="19"/>
      <c r="O28" s="24">
        <f>'5월26일'!O28+N26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0.72854961832061071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O29"/>
  <sheetViews>
    <sheetView workbookViewId="0"/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232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233</v>
      </c>
      <c r="C6" s="63"/>
      <c r="D6" s="64"/>
      <c r="E6" s="42">
        <v>100000</v>
      </c>
      <c r="F6" s="43"/>
      <c r="G6" s="44">
        <f t="shared" ref="G6:G26" si="0">E6+F6</f>
        <v>100000</v>
      </c>
      <c r="H6" s="45" t="s">
        <v>234</v>
      </c>
      <c r="I6" s="42">
        <v>110000</v>
      </c>
      <c r="J6" s="43"/>
      <c r="K6" s="44">
        <f t="shared" ref="K6:K26" si="1">I6+J6</f>
        <v>110000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235</v>
      </c>
      <c r="C7" s="63"/>
      <c r="D7" s="64"/>
      <c r="E7" s="42">
        <v>20000</v>
      </c>
      <c r="F7" s="43"/>
      <c r="G7" s="44">
        <f t="shared" si="0"/>
        <v>20000</v>
      </c>
      <c r="H7" s="41" t="s">
        <v>236</v>
      </c>
      <c r="I7" s="42"/>
      <c r="J7" s="43">
        <v>33000</v>
      </c>
      <c r="K7" s="44">
        <f t="shared" si="1"/>
        <v>33000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237</v>
      </c>
      <c r="C8" s="63"/>
      <c r="D8" s="64"/>
      <c r="E8" s="42"/>
      <c r="F8" s="43">
        <v>20000</v>
      </c>
      <c r="G8" s="44">
        <f t="shared" si="0"/>
        <v>20000</v>
      </c>
      <c r="H8" s="41" t="s">
        <v>238</v>
      </c>
      <c r="I8" s="42">
        <v>66000</v>
      </c>
      <c r="J8" s="43"/>
      <c r="K8" s="44">
        <f t="shared" si="1"/>
        <v>66000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168</v>
      </c>
      <c r="C9" s="63"/>
      <c r="D9" s="64"/>
      <c r="E9" s="42">
        <v>30000</v>
      </c>
      <c r="F9" s="43"/>
      <c r="G9" s="44">
        <f t="shared" si="0"/>
        <v>30000</v>
      </c>
      <c r="H9" s="41" t="s">
        <v>239</v>
      </c>
      <c r="I9" s="42">
        <v>90000</v>
      </c>
      <c r="J9" s="43"/>
      <c r="K9" s="44">
        <f t="shared" si="1"/>
        <v>90000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240</v>
      </c>
      <c r="C10" s="63"/>
      <c r="D10" s="64"/>
      <c r="E10" s="42">
        <v>75000</v>
      </c>
      <c r="F10" s="43"/>
      <c r="G10" s="44">
        <f t="shared" si="0"/>
        <v>75000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225000</v>
      </c>
      <c r="F26" s="13">
        <f>SUM(F6:F25)</f>
        <v>20000</v>
      </c>
      <c r="G26" s="14">
        <f t="shared" si="0"/>
        <v>245000</v>
      </c>
      <c r="H26" s="11"/>
      <c r="I26" s="12">
        <f>SUM(I6:I25)</f>
        <v>266000</v>
      </c>
      <c r="J26" s="13">
        <f>SUM(J6:J25)</f>
        <v>33000</v>
      </c>
      <c r="K26" s="14">
        <f t="shared" si="1"/>
        <v>299000</v>
      </c>
      <c r="L26" s="14">
        <f>G26+K26</f>
        <v>544000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491000</v>
      </c>
      <c r="J27" s="21">
        <f>F26+J26</f>
        <v>53000</v>
      </c>
      <c r="K27" s="19"/>
      <c r="L27" s="22">
        <f>K28/28</f>
        <v>370321.42857142858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'5월27일'!I28+I27</f>
        <v>7649000</v>
      </c>
      <c r="J28" s="21">
        <f>'5월27일'!J28+J27</f>
        <v>2720000</v>
      </c>
      <c r="K28" s="22">
        <f>'5월27일'!K28+L26</f>
        <v>10369000</v>
      </c>
      <c r="L28" s="69">
        <f>'5월27일'!L28+L26</f>
        <v>10369000</v>
      </c>
      <c r="M28" s="64"/>
      <c r="N28" s="19"/>
      <c r="O28" s="24">
        <f>'5월27일'!O28+N26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0.73767962195004344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O29"/>
  <sheetViews>
    <sheetView workbookViewId="0">
      <selection sqref="A1:O3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241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242</v>
      </c>
      <c r="C6" s="63"/>
      <c r="D6" s="64"/>
      <c r="E6" s="42">
        <v>60000</v>
      </c>
      <c r="F6" s="43"/>
      <c r="G6" s="44">
        <f t="shared" ref="G6:G26" si="0">E6+F6</f>
        <v>60000</v>
      </c>
      <c r="H6" s="45" t="s">
        <v>133</v>
      </c>
      <c r="I6" s="42">
        <v>39000</v>
      </c>
      <c r="J6" s="43"/>
      <c r="K6" s="44">
        <f t="shared" ref="K6:K26" si="1">I6+J6</f>
        <v>39000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/>
      <c r="C7" s="63"/>
      <c r="D7" s="64"/>
      <c r="E7" s="42"/>
      <c r="F7" s="43"/>
      <c r="G7" s="44">
        <f t="shared" si="0"/>
        <v>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60000</v>
      </c>
      <c r="F26" s="13">
        <f>SUM(F6:F25)</f>
        <v>0</v>
      </c>
      <c r="G26" s="14">
        <f t="shared" si="0"/>
        <v>60000</v>
      </c>
      <c r="H26" s="11"/>
      <c r="I26" s="12">
        <f>SUM(I6:I25)</f>
        <v>39000</v>
      </c>
      <c r="J26" s="13">
        <f>SUM(J6:J25)</f>
        <v>0</v>
      </c>
      <c r="K26" s="14">
        <f t="shared" si="1"/>
        <v>39000</v>
      </c>
      <c r="L26" s="14">
        <f>G26+K26</f>
        <v>99000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99000</v>
      </c>
      <c r="J27" s="21">
        <f>F26+J26</f>
        <v>0</v>
      </c>
      <c r="K27" s="19"/>
      <c r="L27" s="22">
        <f>K28/29</f>
        <v>360965.5172413793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'5월28일'!I28+I27</f>
        <v>7748000</v>
      </c>
      <c r="J28" s="21">
        <f>'5월28일'!J28+J27</f>
        <v>2720000</v>
      </c>
      <c r="K28" s="22">
        <f>'5월28일'!K28+L26</f>
        <v>10468000</v>
      </c>
      <c r="L28" s="69">
        <f>'5월28일'!L28+L26</f>
        <v>10468000</v>
      </c>
      <c r="M28" s="64"/>
      <c r="N28" s="19"/>
      <c r="O28" s="24">
        <f>'5월28일'!O28+N26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0.74016048910966759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29"/>
  <sheetViews>
    <sheetView workbookViewId="0">
      <selection activeCell="F7" sqref="F7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243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244</v>
      </c>
      <c r="C6" s="63"/>
      <c r="D6" s="64"/>
      <c r="E6" s="42">
        <v>65000</v>
      </c>
      <c r="F6" s="43"/>
      <c r="G6" s="44">
        <f t="shared" ref="G6:G26" si="0">E6+F6</f>
        <v>65000</v>
      </c>
      <c r="H6" s="45" t="s">
        <v>245</v>
      </c>
      <c r="I6" s="42">
        <v>54000</v>
      </c>
      <c r="J6" s="43"/>
      <c r="K6" s="44">
        <f t="shared" ref="K6:K26" si="1">I6+J6</f>
        <v>54000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258</v>
      </c>
      <c r="C7" s="63"/>
      <c r="D7" s="64"/>
      <c r="E7" s="42">
        <v>20000</v>
      </c>
      <c r="F7" s="43"/>
      <c r="G7" s="44">
        <f t="shared" si="0"/>
        <v>20000</v>
      </c>
      <c r="H7" s="41"/>
      <c r="I7" s="42"/>
      <c r="J7" s="43"/>
      <c r="K7" s="44">
        <f t="shared" si="1"/>
        <v>0</v>
      </c>
      <c r="L7" s="46"/>
      <c r="M7" s="41"/>
      <c r="N7" s="65"/>
      <c r="O7" s="64"/>
    </row>
    <row r="8" spans="1:15" ht="20" customHeight="1" x14ac:dyDescent="0.45">
      <c r="A8" s="36">
        <v>3</v>
      </c>
      <c r="B8" s="62"/>
      <c r="C8" s="63"/>
      <c r="D8" s="64"/>
      <c r="E8" s="42"/>
      <c r="F8" s="43"/>
      <c r="G8" s="44">
        <f t="shared" si="0"/>
        <v>0</v>
      </c>
      <c r="H8" s="41"/>
      <c r="I8" s="42"/>
      <c r="J8" s="43"/>
      <c r="K8" s="44">
        <f t="shared" si="1"/>
        <v>0</v>
      </c>
      <c r="L8" s="46"/>
      <c r="M8" s="41"/>
      <c r="N8" s="65"/>
      <c r="O8" s="64"/>
    </row>
    <row r="9" spans="1:15" ht="20" customHeight="1" x14ac:dyDescent="0.45">
      <c r="A9" s="36">
        <v>4</v>
      </c>
      <c r="B9" s="62"/>
      <c r="C9" s="63"/>
      <c r="D9" s="64"/>
      <c r="E9" s="42"/>
      <c r="F9" s="43"/>
      <c r="G9" s="44">
        <f t="shared" si="0"/>
        <v>0</v>
      </c>
      <c r="H9" s="41"/>
      <c r="I9" s="42"/>
      <c r="J9" s="43"/>
      <c r="K9" s="44">
        <f t="shared" si="1"/>
        <v>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/>
      <c r="C10" s="63"/>
      <c r="D10" s="64"/>
      <c r="E10" s="42"/>
      <c r="F10" s="43"/>
      <c r="G10" s="44">
        <f t="shared" si="0"/>
        <v>0</v>
      </c>
      <c r="H10" s="41"/>
      <c r="I10" s="42"/>
      <c r="J10" s="43"/>
      <c r="K10" s="44">
        <f t="shared" si="1"/>
        <v>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/>
      <c r="C11" s="63"/>
      <c r="D11" s="64"/>
      <c r="E11" s="42"/>
      <c r="F11" s="43"/>
      <c r="G11" s="44">
        <f t="shared" si="0"/>
        <v>0</v>
      </c>
      <c r="H11" s="41"/>
      <c r="I11" s="42"/>
      <c r="J11" s="43"/>
      <c r="K11" s="44">
        <f t="shared" si="1"/>
        <v>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/>
      <c r="C12" s="63"/>
      <c r="D12" s="64"/>
      <c r="E12" s="42"/>
      <c r="F12" s="43"/>
      <c r="G12" s="44">
        <f t="shared" si="0"/>
        <v>0</v>
      </c>
      <c r="H12" s="41"/>
      <c r="I12" s="42"/>
      <c r="J12" s="43"/>
      <c r="K12" s="44">
        <f t="shared" si="1"/>
        <v>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/>
      <c r="C13" s="63"/>
      <c r="D13" s="64"/>
      <c r="E13" s="42"/>
      <c r="F13" s="43"/>
      <c r="G13" s="44">
        <f t="shared" si="0"/>
        <v>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85000</v>
      </c>
      <c r="F26" s="13">
        <f>SUM(F6:F25)</f>
        <v>0</v>
      </c>
      <c r="G26" s="14">
        <f t="shared" si="0"/>
        <v>85000</v>
      </c>
      <c r="H26" s="11"/>
      <c r="I26" s="12">
        <f>SUM(I6:I25)</f>
        <v>54000</v>
      </c>
      <c r="J26" s="13">
        <f>SUM(J6:J25)</f>
        <v>0</v>
      </c>
      <c r="K26" s="14">
        <f t="shared" si="1"/>
        <v>54000</v>
      </c>
      <c r="L26" s="14">
        <f>G26+K26</f>
        <v>139000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139000</v>
      </c>
      <c r="J27" s="21">
        <f>F26+J26</f>
        <v>0</v>
      </c>
      <c r="K27" s="19"/>
      <c r="L27" s="22">
        <f>K28/30</f>
        <v>353566.66666666669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'5월29일'!I28+I27</f>
        <v>7887000</v>
      </c>
      <c r="J28" s="21">
        <f>'5월29일'!J28+J27</f>
        <v>2720000</v>
      </c>
      <c r="K28" s="22">
        <f>'5월29일'!K28+L26</f>
        <v>10607000</v>
      </c>
      <c r="L28" s="69">
        <f>'5월29일'!L28+L26</f>
        <v>10607000</v>
      </c>
      <c r="M28" s="64"/>
      <c r="N28" s="19"/>
      <c r="O28" s="24">
        <f>'5월29일'!O28+N26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0.74356556990666545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O29"/>
  <sheetViews>
    <sheetView workbookViewId="0">
      <selection activeCell="H37" sqref="H37"/>
    </sheetView>
  </sheetViews>
  <sheetFormatPr defaultRowHeight="17" x14ac:dyDescent="0.45"/>
  <cols>
    <col min="1" max="1" width="4" customWidth="1"/>
    <col min="2" max="3" width="8" customWidth="1"/>
    <col min="4" max="4" width="10.1640625" customWidth="1"/>
    <col min="5" max="7" width="12" customWidth="1"/>
    <col min="8" max="8" width="23.5" customWidth="1"/>
    <col min="9" max="11" width="12" customWidth="1"/>
    <col min="12" max="12" width="14" customWidth="1"/>
    <col min="13" max="13" width="4" customWidth="1"/>
    <col min="14" max="15" width="8" customWidth="1"/>
  </cols>
  <sheetData>
    <row r="1" spans="1:15" ht="15" customHeight="1" x14ac:dyDescent="0.45">
      <c r="A1" s="60" t="s">
        <v>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15" customHeight="1" x14ac:dyDescent="0.4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ht="15" customHeight="1" x14ac:dyDescent="0.4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</row>
    <row r="4" spans="1:15" ht="20" customHeight="1" x14ac:dyDescent="0.45">
      <c r="K4" s="10" t="s">
        <v>246</v>
      </c>
    </row>
    <row r="5" spans="1:15" ht="25" customHeight="1" x14ac:dyDescent="0.45">
      <c r="A5" s="37" t="s">
        <v>51</v>
      </c>
      <c r="B5" s="66" t="s">
        <v>52</v>
      </c>
      <c r="C5" s="68"/>
      <c r="D5" s="67"/>
      <c r="E5" s="39" t="s">
        <v>53</v>
      </c>
      <c r="F5" s="40" t="s">
        <v>54</v>
      </c>
      <c r="G5" s="38" t="s">
        <v>55</v>
      </c>
      <c r="H5" s="38" t="s">
        <v>56</v>
      </c>
      <c r="I5" s="39" t="s">
        <v>53</v>
      </c>
      <c r="J5" s="40" t="s">
        <v>54</v>
      </c>
      <c r="K5" s="38" t="s">
        <v>55</v>
      </c>
      <c r="L5" s="38" t="s">
        <v>57</v>
      </c>
      <c r="M5" s="38"/>
      <c r="N5" s="66" t="s">
        <v>58</v>
      </c>
      <c r="O5" s="67"/>
    </row>
    <row r="6" spans="1:15" ht="28" customHeight="1" x14ac:dyDescent="0.45">
      <c r="A6" s="36">
        <v>1</v>
      </c>
      <c r="B6" s="62" t="s">
        <v>247</v>
      </c>
      <c r="C6" s="63"/>
      <c r="D6" s="64"/>
      <c r="E6" s="42">
        <v>109000</v>
      </c>
      <c r="F6" s="43"/>
      <c r="G6" s="44">
        <f t="shared" ref="G6:G26" si="0">E6+F6</f>
        <v>109000</v>
      </c>
      <c r="H6" s="45" t="s">
        <v>81</v>
      </c>
      <c r="I6" s="42">
        <v>20000</v>
      </c>
      <c r="J6" s="43"/>
      <c r="K6" s="44">
        <f t="shared" ref="K6:K26" si="1">I6+J6</f>
        <v>20000</v>
      </c>
      <c r="L6" s="46"/>
      <c r="M6" s="41"/>
      <c r="N6" s="65"/>
      <c r="O6" s="64"/>
    </row>
    <row r="7" spans="1:15" ht="20" customHeight="1" x14ac:dyDescent="0.45">
      <c r="A7" s="36">
        <v>2</v>
      </c>
      <c r="B7" s="62" t="s">
        <v>168</v>
      </c>
      <c r="C7" s="63"/>
      <c r="D7" s="64"/>
      <c r="E7" s="42">
        <v>30000</v>
      </c>
      <c r="F7" s="43"/>
      <c r="G7" s="44">
        <f t="shared" si="0"/>
        <v>30000</v>
      </c>
      <c r="H7" s="41" t="s">
        <v>168</v>
      </c>
      <c r="I7" s="42"/>
      <c r="J7" s="43">
        <v>30000</v>
      </c>
      <c r="K7" s="44">
        <f t="shared" si="1"/>
        <v>30000</v>
      </c>
      <c r="L7" s="46"/>
      <c r="M7" s="41"/>
      <c r="N7" s="65"/>
      <c r="O7" s="64"/>
    </row>
    <row r="8" spans="1:15" ht="20" customHeight="1" x14ac:dyDescent="0.45">
      <c r="A8" s="36">
        <v>3</v>
      </c>
      <c r="B8" s="62" t="s">
        <v>248</v>
      </c>
      <c r="C8" s="63"/>
      <c r="D8" s="64"/>
      <c r="E8" s="42"/>
      <c r="F8" s="43">
        <v>10000</v>
      </c>
      <c r="G8" s="44">
        <f t="shared" si="0"/>
        <v>10000</v>
      </c>
      <c r="H8" s="41" t="s">
        <v>249</v>
      </c>
      <c r="I8" s="42"/>
      <c r="J8" s="43">
        <v>10000</v>
      </c>
      <c r="K8" s="44">
        <f t="shared" si="1"/>
        <v>10000</v>
      </c>
      <c r="L8" s="46"/>
      <c r="M8" s="41"/>
      <c r="N8" s="65"/>
      <c r="O8" s="64"/>
    </row>
    <row r="9" spans="1:15" ht="20" customHeight="1" x14ac:dyDescent="0.45">
      <c r="A9" s="36">
        <v>4</v>
      </c>
      <c r="B9" s="62" t="s">
        <v>250</v>
      </c>
      <c r="C9" s="63"/>
      <c r="D9" s="64"/>
      <c r="E9" s="42"/>
      <c r="F9" s="43">
        <v>5000</v>
      </c>
      <c r="G9" s="44">
        <f t="shared" si="0"/>
        <v>5000</v>
      </c>
      <c r="H9" s="41" t="s">
        <v>251</v>
      </c>
      <c r="I9" s="42">
        <v>100000</v>
      </c>
      <c r="J9" s="43"/>
      <c r="K9" s="44">
        <f t="shared" si="1"/>
        <v>100000</v>
      </c>
      <c r="L9" s="46"/>
      <c r="M9" s="41"/>
      <c r="N9" s="65"/>
      <c r="O9" s="64"/>
    </row>
    <row r="10" spans="1:15" ht="20" customHeight="1" x14ac:dyDescent="0.45">
      <c r="A10" s="36">
        <v>5</v>
      </c>
      <c r="B10" s="62" t="s">
        <v>252</v>
      </c>
      <c r="C10" s="63"/>
      <c r="D10" s="64"/>
      <c r="E10" s="42">
        <v>5000</v>
      </c>
      <c r="F10" s="43"/>
      <c r="G10" s="44">
        <f t="shared" si="0"/>
        <v>5000</v>
      </c>
      <c r="H10" s="41" t="s">
        <v>253</v>
      </c>
      <c r="I10" s="42"/>
      <c r="J10" s="43">
        <v>25000</v>
      </c>
      <c r="K10" s="44">
        <f t="shared" si="1"/>
        <v>25000</v>
      </c>
      <c r="L10" s="46"/>
      <c r="M10" s="41"/>
      <c r="N10" s="65"/>
      <c r="O10" s="64"/>
    </row>
    <row r="11" spans="1:15" ht="20" customHeight="1" x14ac:dyDescent="0.45">
      <c r="A11" s="36">
        <v>6</v>
      </c>
      <c r="B11" s="62" t="s">
        <v>149</v>
      </c>
      <c r="C11" s="63"/>
      <c r="D11" s="64"/>
      <c r="E11" s="42">
        <v>20000</v>
      </c>
      <c r="F11" s="43"/>
      <c r="G11" s="44">
        <f t="shared" si="0"/>
        <v>20000</v>
      </c>
      <c r="H11" s="41" t="s">
        <v>254</v>
      </c>
      <c r="I11" s="42">
        <v>75000</v>
      </c>
      <c r="J11" s="43"/>
      <c r="K11" s="44">
        <f t="shared" si="1"/>
        <v>75000</v>
      </c>
      <c r="L11" s="46"/>
      <c r="M11" s="41"/>
      <c r="N11" s="65"/>
      <c r="O11" s="64"/>
    </row>
    <row r="12" spans="1:15" ht="20" customHeight="1" x14ac:dyDescent="0.45">
      <c r="A12" s="36">
        <v>7</v>
      </c>
      <c r="B12" s="62" t="s">
        <v>255</v>
      </c>
      <c r="C12" s="63"/>
      <c r="D12" s="64"/>
      <c r="E12" s="42">
        <v>80000</v>
      </c>
      <c r="F12" s="43"/>
      <c r="G12" s="44">
        <f t="shared" si="0"/>
        <v>80000</v>
      </c>
      <c r="H12" s="41" t="s">
        <v>256</v>
      </c>
      <c r="I12" s="42">
        <v>40000</v>
      </c>
      <c r="J12" s="43"/>
      <c r="K12" s="44">
        <f t="shared" si="1"/>
        <v>40000</v>
      </c>
      <c r="L12" s="46"/>
      <c r="M12" s="41"/>
      <c r="N12" s="65"/>
      <c r="O12" s="64"/>
    </row>
    <row r="13" spans="1:15" ht="20" customHeight="1" x14ac:dyDescent="0.45">
      <c r="A13" s="36">
        <v>8</v>
      </c>
      <c r="B13" s="62" t="s">
        <v>257</v>
      </c>
      <c r="C13" s="63"/>
      <c r="D13" s="64"/>
      <c r="E13" s="42">
        <v>25000</v>
      </c>
      <c r="F13" s="43"/>
      <c r="G13" s="44">
        <f t="shared" si="0"/>
        <v>25000</v>
      </c>
      <c r="H13" s="41"/>
      <c r="I13" s="42"/>
      <c r="J13" s="43"/>
      <c r="K13" s="44">
        <f t="shared" si="1"/>
        <v>0</v>
      </c>
      <c r="L13" s="46"/>
      <c r="M13" s="41"/>
      <c r="N13" s="65"/>
      <c r="O13" s="64"/>
    </row>
    <row r="14" spans="1:15" ht="20" customHeight="1" x14ac:dyDescent="0.45">
      <c r="A14" s="36">
        <v>9</v>
      </c>
      <c r="B14" s="62"/>
      <c r="C14" s="63"/>
      <c r="D14" s="64"/>
      <c r="E14" s="42"/>
      <c r="F14" s="43"/>
      <c r="G14" s="44">
        <f t="shared" si="0"/>
        <v>0</v>
      </c>
      <c r="H14" s="41"/>
      <c r="I14" s="42"/>
      <c r="J14" s="43"/>
      <c r="K14" s="44">
        <f t="shared" si="1"/>
        <v>0</v>
      </c>
      <c r="L14" s="46"/>
      <c r="M14" s="41"/>
      <c r="N14" s="65"/>
      <c r="O14" s="64"/>
    </row>
    <row r="15" spans="1:15" ht="20" customHeight="1" x14ac:dyDescent="0.45">
      <c r="A15" s="36">
        <v>10</v>
      </c>
      <c r="B15" s="62"/>
      <c r="C15" s="63"/>
      <c r="D15" s="64"/>
      <c r="E15" s="42"/>
      <c r="F15" s="43"/>
      <c r="G15" s="44">
        <f t="shared" si="0"/>
        <v>0</v>
      </c>
      <c r="H15" s="41"/>
      <c r="I15" s="42"/>
      <c r="J15" s="43"/>
      <c r="K15" s="44">
        <f t="shared" si="1"/>
        <v>0</v>
      </c>
      <c r="L15" s="46"/>
      <c r="M15" s="41"/>
      <c r="N15" s="65"/>
      <c r="O15" s="64"/>
    </row>
    <row r="16" spans="1:15" ht="20" customHeight="1" x14ac:dyDescent="0.45">
      <c r="A16" s="36">
        <v>11</v>
      </c>
      <c r="B16" s="62"/>
      <c r="C16" s="63"/>
      <c r="D16" s="64"/>
      <c r="E16" s="42"/>
      <c r="F16" s="43"/>
      <c r="G16" s="44">
        <f t="shared" si="0"/>
        <v>0</v>
      </c>
      <c r="H16" s="41"/>
      <c r="I16" s="42"/>
      <c r="J16" s="43"/>
      <c r="K16" s="44">
        <f t="shared" si="1"/>
        <v>0</v>
      </c>
      <c r="L16" s="46"/>
      <c r="M16" s="41"/>
      <c r="N16" s="65"/>
      <c r="O16" s="64"/>
    </row>
    <row r="17" spans="1:15" ht="20" customHeight="1" x14ac:dyDescent="0.45">
      <c r="A17" s="36">
        <v>12</v>
      </c>
      <c r="B17" s="62"/>
      <c r="C17" s="63"/>
      <c r="D17" s="64"/>
      <c r="E17" s="42"/>
      <c r="F17" s="43"/>
      <c r="G17" s="44">
        <f t="shared" si="0"/>
        <v>0</v>
      </c>
      <c r="H17" s="41"/>
      <c r="I17" s="42"/>
      <c r="J17" s="43"/>
      <c r="K17" s="44">
        <f t="shared" si="1"/>
        <v>0</v>
      </c>
      <c r="L17" s="46"/>
      <c r="M17" s="41"/>
      <c r="N17" s="65"/>
      <c r="O17" s="64"/>
    </row>
    <row r="18" spans="1:15" ht="20" customHeight="1" x14ac:dyDescent="0.45">
      <c r="A18" s="36">
        <v>13</v>
      </c>
      <c r="B18" s="62"/>
      <c r="C18" s="63"/>
      <c r="D18" s="64"/>
      <c r="E18" s="42"/>
      <c r="F18" s="43"/>
      <c r="G18" s="44">
        <f t="shared" si="0"/>
        <v>0</v>
      </c>
      <c r="H18" s="41"/>
      <c r="I18" s="42"/>
      <c r="J18" s="43"/>
      <c r="K18" s="44">
        <f t="shared" si="1"/>
        <v>0</v>
      </c>
      <c r="L18" s="46"/>
      <c r="M18" s="41"/>
      <c r="N18" s="65"/>
      <c r="O18" s="64"/>
    </row>
    <row r="19" spans="1:15" ht="20" customHeight="1" x14ac:dyDescent="0.45">
      <c r="A19" s="36">
        <v>14</v>
      </c>
      <c r="B19" s="62"/>
      <c r="C19" s="63"/>
      <c r="D19" s="64"/>
      <c r="E19" s="42"/>
      <c r="F19" s="43"/>
      <c r="G19" s="44">
        <f t="shared" si="0"/>
        <v>0</v>
      </c>
      <c r="H19" s="41"/>
      <c r="I19" s="42"/>
      <c r="J19" s="43"/>
      <c r="K19" s="44">
        <f t="shared" si="1"/>
        <v>0</v>
      </c>
      <c r="L19" s="46"/>
      <c r="M19" s="41"/>
      <c r="N19" s="65"/>
      <c r="O19" s="64"/>
    </row>
    <row r="20" spans="1:15" ht="20" customHeight="1" x14ac:dyDescent="0.45">
      <c r="A20" s="36">
        <v>15</v>
      </c>
      <c r="B20" s="62"/>
      <c r="C20" s="63"/>
      <c r="D20" s="64"/>
      <c r="E20" s="42"/>
      <c r="F20" s="43"/>
      <c r="G20" s="44">
        <f t="shared" si="0"/>
        <v>0</v>
      </c>
      <c r="H20" s="41"/>
      <c r="I20" s="42"/>
      <c r="J20" s="43"/>
      <c r="K20" s="44">
        <f t="shared" si="1"/>
        <v>0</v>
      </c>
      <c r="L20" s="46"/>
      <c r="M20" s="41"/>
      <c r="N20" s="65"/>
      <c r="O20" s="64"/>
    </row>
    <row r="21" spans="1:15" ht="20" customHeight="1" x14ac:dyDescent="0.45">
      <c r="A21" s="36">
        <v>16</v>
      </c>
      <c r="B21" s="62"/>
      <c r="C21" s="63"/>
      <c r="D21" s="64"/>
      <c r="E21" s="42"/>
      <c r="F21" s="43"/>
      <c r="G21" s="44">
        <f t="shared" si="0"/>
        <v>0</v>
      </c>
      <c r="H21" s="41"/>
      <c r="I21" s="42"/>
      <c r="J21" s="43"/>
      <c r="K21" s="44">
        <f t="shared" si="1"/>
        <v>0</v>
      </c>
      <c r="L21" s="46"/>
      <c r="M21" s="41"/>
      <c r="N21" s="65"/>
      <c r="O21" s="64"/>
    </row>
    <row r="22" spans="1:15" ht="20" customHeight="1" x14ac:dyDescent="0.45">
      <c r="A22" s="36">
        <v>17</v>
      </c>
      <c r="B22" s="62"/>
      <c r="C22" s="63"/>
      <c r="D22" s="64"/>
      <c r="E22" s="42"/>
      <c r="F22" s="43"/>
      <c r="G22" s="44">
        <f t="shared" si="0"/>
        <v>0</v>
      </c>
      <c r="H22" s="41"/>
      <c r="I22" s="42"/>
      <c r="J22" s="43"/>
      <c r="K22" s="44">
        <f t="shared" si="1"/>
        <v>0</v>
      </c>
      <c r="L22" s="46"/>
      <c r="M22" s="41"/>
      <c r="N22" s="65"/>
      <c r="O22" s="64"/>
    </row>
    <row r="23" spans="1:15" ht="20" customHeight="1" x14ac:dyDescent="0.45">
      <c r="A23" s="36">
        <v>18</v>
      </c>
      <c r="B23" s="62"/>
      <c r="C23" s="63"/>
      <c r="D23" s="64"/>
      <c r="E23" s="42"/>
      <c r="F23" s="43"/>
      <c r="G23" s="44">
        <f t="shared" si="0"/>
        <v>0</v>
      </c>
      <c r="H23" s="41"/>
      <c r="I23" s="42"/>
      <c r="J23" s="43"/>
      <c r="K23" s="44">
        <f t="shared" si="1"/>
        <v>0</v>
      </c>
      <c r="L23" s="46"/>
      <c r="M23" s="41"/>
      <c r="N23" s="65"/>
      <c r="O23" s="64"/>
    </row>
    <row r="24" spans="1:15" ht="20" customHeight="1" x14ac:dyDescent="0.45">
      <c r="A24" s="36">
        <v>19</v>
      </c>
      <c r="B24" s="62"/>
      <c r="C24" s="63"/>
      <c r="D24" s="64"/>
      <c r="E24" s="42"/>
      <c r="F24" s="43"/>
      <c r="G24" s="44">
        <f t="shared" si="0"/>
        <v>0</v>
      </c>
      <c r="H24" s="41"/>
      <c r="I24" s="42"/>
      <c r="J24" s="43"/>
      <c r="K24" s="44">
        <f t="shared" si="1"/>
        <v>0</v>
      </c>
      <c r="L24" s="46"/>
      <c r="M24" s="41"/>
      <c r="N24" s="65"/>
      <c r="O24" s="64"/>
    </row>
    <row r="25" spans="1:15" ht="20" customHeight="1" x14ac:dyDescent="0.45">
      <c r="A25" s="36">
        <v>20</v>
      </c>
      <c r="B25" s="62"/>
      <c r="C25" s="63"/>
      <c r="D25" s="64"/>
      <c r="E25" s="42"/>
      <c r="F25" s="43"/>
      <c r="G25" s="44">
        <f t="shared" si="0"/>
        <v>0</v>
      </c>
      <c r="H25" s="41"/>
      <c r="I25" s="42"/>
      <c r="J25" s="43"/>
      <c r="K25" s="44">
        <f t="shared" si="1"/>
        <v>0</v>
      </c>
      <c r="L25" s="46"/>
      <c r="M25" s="41"/>
      <c r="N25" s="65"/>
      <c r="O25" s="64"/>
    </row>
    <row r="26" spans="1:15" ht="22" customHeight="1" x14ac:dyDescent="0.45">
      <c r="A26" s="33"/>
      <c r="B26" s="70" t="s">
        <v>61</v>
      </c>
      <c r="C26" s="71"/>
      <c r="D26" s="72"/>
      <c r="E26" s="12">
        <f>SUM(E6:E25)</f>
        <v>269000</v>
      </c>
      <c r="F26" s="13">
        <f>SUM(F6:F25)</f>
        <v>15000</v>
      </c>
      <c r="G26" s="14">
        <f t="shared" si="0"/>
        <v>284000</v>
      </c>
      <c r="H26" s="11"/>
      <c r="I26" s="12">
        <f>SUM(I6:I25)</f>
        <v>235000</v>
      </c>
      <c r="J26" s="13">
        <f>SUM(J6:J25)</f>
        <v>65000</v>
      </c>
      <c r="K26" s="14">
        <f t="shared" si="1"/>
        <v>300000</v>
      </c>
      <c r="L26" s="14">
        <f>G26+K26</f>
        <v>584000</v>
      </c>
      <c r="M26" s="11"/>
      <c r="N26" s="14">
        <f>SUM(N6:N25)</f>
        <v>0</v>
      </c>
      <c r="O26" s="15"/>
    </row>
    <row r="27" spans="1:15" ht="20" customHeight="1" x14ac:dyDescent="0.45">
      <c r="A27" s="34"/>
      <c r="B27" s="16"/>
      <c r="C27" s="16"/>
      <c r="D27" s="16"/>
      <c r="E27" s="17"/>
      <c r="F27" s="18"/>
      <c r="G27" s="19"/>
      <c r="H27" s="16"/>
      <c r="I27" s="20">
        <f>E26+I26</f>
        <v>504000</v>
      </c>
      <c r="J27" s="21">
        <f>F26+J26</f>
        <v>80000</v>
      </c>
      <c r="K27" s="19"/>
      <c r="L27" s="22">
        <f>K28/31</f>
        <v>361000</v>
      </c>
      <c r="M27" s="16"/>
      <c r="N27" s="19"/>
      <c r="O27" s="23"/>
    </row>
    <row r="28" spans="1:15" ht="20" customHeight="1" x14ac:dyDescent="0.45">
      <c r="A28" s="34"/>
      <c r="B28" s="16"/>
      <c r="C28" s="16"/>
      <c r="D28" s="16"/>
      <c r="E28" s="17"/>
      <c r="F28" s="18"/>
      <c r="G28" s="19"/>
      <c r="H28" s="16"/>
      <c r="I28" s="20">
        <f>'5월30일'!I28+I27</f>
        <v>8391000</v>
      </c>
      <c r="J28" s="21">
        <f>'5월30일'!J28+J27</f>
        <v>2800000</v>
      </c>
      <c r="K28" s="22">
        <f>'5월30일'!K28+L26</f>
        <v>11191000</v>
      </c>
      <c r="L28" s="69">
        <f>'5월30일'!L28+L26</f>
        <v>11191000</v>
      </c>
      <c r="M28" s="64"/>
      <c r="N28" s="19"/>
      <c r="O28" s="24">
        <f>'5월30일'!O28+N26</f>
        <v>0</v>
      </c>
    </row>
    <row r="29" spans="1:15" ht="20" customHeight="1" x14ac:dyDescent="0.45">
      <c r="A29" s="35"/>
      <c r="B29" s="25"/>
      <c r="C29" s="25"/>
      <c r="D29" s="25"/>
      <c r="E29" s="26"/>
      <c r="F29" s="27"/>
      <c r="G29" s="28"/>
      <c r="H29" s="25"/>
      <c r="I29" s="29">
        <f>I28/K28</f>
        <v>0.74979894558127069</v>
      </c>
      <c r="J29" s="27"/>
      <c r="K29" s="28"/>
      <c r="L29" s="28"/>
      <c r="M29" s="25"/>
      <c r="N29" s="28"/>
      <c r="O29" s="30"/>
    </row>
  </sheetData>
  <mergeCells count="45">
    <mergeCell ref="N20:O20"/>
    <mergeCell ref="B23:D23"/>
    <mergeCell ref="L28:M28"/>
    <mergeCell ref="N22:O22"/>
    <mergeCell ref="B10:D10"/>
    <mergeCell ref="B19:D19"/>
    <mergeCell ref="N21:O21"/>
    <mergeCell ref="N12:O12"/>
    <mergeCell ref="N18:O18"/>
    <mergeCell ref="B15:D15"/>
    <mergeCell ref="B26:D26"/>
    <mergeCell ref="B25:D25"/>
    <mergeCell ref="N16:O16"/>
    <mergeCell ref="B17:D17"/>
    <mergeCell ref="N25:O25"/>
    <mergeCell ref="B13:D13"/>
    <mergeCell ref="B11:D11"/>
    <mergeCell ref="B14:D14"/>
    <mergeCell ref="N10:O10"/>
    <mergeCell ref="N19:O19"/>
    <mergeCell ref="B7:D7"/>
    <mergeCell ref="N13:O13"/>
    <mergeCell ref="B16:D16"/>
    <mergeCell ref="N9:O9"/>
    <mergeCell ref="N15:O15"/>
    <mergeCell ref="N7:O7"/>
    <mergeCell ref="B8:D8"/>
    <mergeCell ref="B9:D9"/>
    <mergeCell ref="N11:O11"/>
    <mergeCell ref="A1:O3"/>
    <mergeCell ref="B12:D12"/>
    <mergeCell ref="N6:O6"/>
    <mergeCell ref="N24:O24"/>
    <mergeCell ref="B22:D22"/>
    <mergeCell ref="B18:D18"/>
    <mergeCell ref="B21:D21"/>
    <mergeCell ref="N5:O5"/>
    <mergeCell ref="N23:O23"/>
    <mergeCell ref="B6:D6"/>
    <mergeCell ref="B24:D24"/>
    <mergeCell ref="N8:O8"/>
    <mergeCell ref="N14:O14"/>
    <mergeCell ref="B20:D20"/>
    <mergeCell ref="N17:O17"/>
    <mergeCell ref="B5:D5"/>
  </mergeCells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32</vt:i4>
      </vt:variant>
    </vt:vector>
  </HeadingPairs>
  <TitlesOfParts>
    <vt:vector size="32" baseType="lpstr">
      <vt:lpstr>5월 종합</vt:lpstr>
      <vt:lpstr>5월1일</vt:lpstr>
      <vt:lpstr>5월2일</vt:lpstr>
      <vt:lpstr>5월3일</vt:lpstr>
      <vt:lpstr>5월4일</vt:lpstr>
      <vt:lpstr>5월5일</vt:lpstr>
      <vt:lpstr>5월6일</vt:lpstr>
      <vt:lpstr>5월7일</vt:lpstr>
      <vt:lpstr>5월8일</vt:lpstr>
      <vt:lpstr>5월9일</vt:lpstr>
      <vt:lpstr>5월10일</vt:lpstr>
      <vt:lpstr>5월11일</vt:lpstr>
      <vt:lpstr>5월12일</vt:lpstr>
      <vt:lpstr>5월13일</vt:lpstr>
      <vt:lpstr>5월14일</vt:lpstr>
      <vt:lpstr>5월15일</vt:lpstr>
      <vt:lpstr>5월16일</vt:lpstr>
      <vt:lpstr>5월17일</vt:lpstr>
      <vt:lpstr>5월18일</vt:lpstr>
      <vt:lpstr>5월19일</vt:lpstr>
      <vt:lpstr>5월20일</vt:lpstr>
      <vt:lpstr>5월21일</vt:lpstr>
      <vt:lpstr>5월22일</vt:lpstr>
      <vt:lpstr>5월23일</vt:lpstr>
      <vt:lpstr>5월24일</vt:lpstr>
      <vt:lpstr>5월25일</vt:lpstr>
      <vt:lpstr>5월26일</vt:lpstr>
      <vt:lpstr>5월27일</vt:lpstr>
      <vt:lpstr>5월28일</vt:lpstr>
      <vt:lpstr>5월29일</vt:lpstr>
      <vt:lpstr>5월30일</vt:lpstr>
      <vt:lpstr>5월31일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e30274</cp:lastModifiedBy>
  <dcterms:created xsi:type="dcterms:W3CDTF">2026-05-30T06:37:23Z</dcterms:created>
  <dcterms:modified xsi:type="dcterms:W3CDTF">2026-05-30T07:58:18Z</dcterms:modified>
</cp:coreProperties>
</file>