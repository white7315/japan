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50" yWindow="20" windowWidth="20860" windowHeight="20860" tabRatio="600" firstSheet="0" activeTab="0" autoFilterDateGrouping="1"/>
  </bookViews>
  <sheets>
    <sheet name="5월 종합" sheetId="1" state="visible" r:id="rId1"/>
    <sheet name="5월1일" sheetId="2" state="visible" r:id="rId2"/>
    <sheet name="5월2일" sheetId="3" state="visible" r:id="rId3"/>
    <sheet name="5월3일" sheetId="4" state="visible" r:id="rId4"/>
    <sheet name="5월4일" sheetId="5" state="visible" r:id="rId5"/>
    <sheet name="5월5일" sheetId="6" state="visible" r:id="rId6"/>
    <sheet name="5월6일" sheetId="7" state="visible" r:id="rId7"/>
    <sheet name="5월7일" sheetId="8" state="visible" r:id="rId8"/>
    <sheet name="5월8일" sheetId="9" state="visible" r:id="rId9"/>
    <sheet name="5월9일" sheetId="10" state="visible" r:id="rId10"/>
    <sheet name="5월10일" sheetId="11" state="visible" r:id="rId11"/>
    <sheet name="5월11일" sheetId="12" state="visible" r:id="rId12"/>
    <sheet name="5월12일" sheetId="13" state="visible" r:id="rId13"/>
    <sheet name="5월13일" sheetId="14" state="visible" r:id="rId14"/>
    <sheet name="5월14일" sheetId="15" state="visible" r:id="rId15"/>
    <sheet name="5월15일" sheetId="16" state="visible" r:id="rId16"/>
    <sheet name="5월16일" sheetId="17" state="visible" r:id="rId17"/>
    <sheet name="5월17일" sheetId="18" state="visible" r:id="rId18"/>
    <sheet name="5월18일" sheetId="19" state="visible" r:id="rId19"/>
    <sheet name="5월19일" sheetId="20" state="visible" r:id="rId20"/>
    <sheet name="5월20일" sheetId="21" state="visible" r:id="rId21"/>
    <sheet name="5월21일" sheetId="22" state="visible" r:id="rId22"/>
    <sheet name="5월22일" sheetId="23" state="visible" r:id="rId23"/>
    <sheet name="5월23일" sheetId="24" state="visible" r:id="rId24"/>
    <sheet name="5월24일" sheetId="25" state="visible" r:id="rId25"/>
    <sheet name="5월25일" sheetId="26" state="visible" r:id="rId26"/>
    <sheet name="5월26일" sheetId="27" state="visible" r:id="rId27"/>
    <sheet name="5월27일" sheetId="28" state="visible" r:id="rId28"/>
    <sheet name="5월28일" sheetId="29" state="visible" r:id="rId29"/>
    <sheet name="5월29일" sheetId="30" state="visible" r:id="rId30"/>
    <sheet name="5월30일" sheetId="31" state="visible" r:id="rId31"/>
    <sheet name="5월31일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%"/>
    <numFmt numFmtId="166" formatCode="#,##0;\-#,##0;;"/>
    <numFmt numFmtId="167" formatCode="#,##0_ "/>
    <numFmt numFmtId="168" formatCode="#,##0.0_ "/>
  </numFmts>
  <fonts count="27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00000"/>
      <sz val="18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10"/>
    </font>
    <font>
      <name val="맑은 고딕"/>
      <charset val="129"/>
      <family val="3"/>
      <b val="1"/>
      <sz val="16"/>
    </font>
    <font>
      <name val="맑은 고딕"/>
      <charset val="129"/>
      <family val="3"/>
      <sz val="8"/>
      <scheme val="minor"/>
    </font>
    <font>
      <name val="메이플스토리"/>
      <charset val="129"/>
      <family val="3"/>
      <color rgb="FF000000"/>
      <sz val="10"/>
    </font>
    <font>
      <name val="메이플스토리"/>
      <charset val="129"/>
      <family val="3"/>
      <color theme="1"/>
      <sz val="11"/>
    </font>
    <font>
      <name val="메이플스토리"/>
      <charset val="129"/>
      <family val="3"/>
      <b val="1"/>
      <color rgb="FF000000"/>
      <sz val="10"/>
    </font>
    <font>
      <name val="메이플스토리"/>
      <charset val="129"/>
      <family val="3"/>
      <color rgb="FF000000"/>
      <sz val="11"/>
    </font>
    <font>
      <name val="메이플스토리"/>
      <charset val="129"/>
      <family val="3"/>
      <color rgb="FFFF0000"/>
      <sz val="11"/>
    </font>
    <font>
      <name val="메이플스토리"/>
      <charset val="129"/>
      <family val="3"/>
      <color rgb="FF0000FF"/>
      <sz val="11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FF0000"/>
      <sz val="9"/>
    </font>
    <font>
      <name val="맑은 고딕"/>
      <charset val="129"/>
      <family val="3"/>
      <color rgb="FF0000FF"/>
      <sz val="9"/>
    </font>
    <font>
      <name val="메이플스토리"/>
      <charset val="129"/>
      <family val="3"/>
      <color theme="3" tint="0.3999755851924192"/>
      <sz val="11"/>
    </font>
    <font>
      <name val="메이플스토리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color rgb="00FF0000"/>
      <sz val="11"/>
    </font>
  </fonts>
  <fills count="9">
    <fill>
      <patternFill/>
    </fill>
    <fill>
      <patternFill patternType="gray125"/>
    </fill>
    <fill>
      <patternFill patternType="solid">
        <fgColor rgb="FFE46C0A"/>
        <bgColor rgb="FFE46C0A"/>
      </patternFill>
    </fill>
    <fill>
      <patternFill patternType="solid">
        <fgColor rgb="FFFDE9D9"/>
        <bgColor rgb="FFFDE9D9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rgb="FFE46C0A"/>
      </left>
      <right style="thin">
        <color rgb="FFD9D9D9"/>
      </right>
      <top style="medium">
        <color rgb="FFE46C0A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E46C0A"/>
      </top>
      <bottom style="thin">
        <color rgb="FFD9D9D9"/>
      </bottom>
      <diagonal/>
    </border>
    <border>
      <left style="medium">
        <color rgb="FFE46C0A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E46C0A"/>
      </right>
      <top style="thin">
        <color rgb="FFD9D9D9"/>
      </top>
      <bottom style="thin">
        <color rgb="FFD9D9D9"/>
      </bottom>
      <diagonal/>
    </border>
    <border>
      <left style="medium">
        <color rgb="FFE46C0A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medium">
        <color rgb="FFE46C0A"/>
      </right>
      <top style="thin">
        <color rgb="FF000000"/>
      </top>
      <bottom style="double">
        <color rgb="FF000000"/>
      </bottom>
      <diagonal/>
    </border>
    <border>
      <left style="medium">
        <color rgb="FFE46C0A"/>
      </left>
      <right style="thin">
        <color rgb="FFD9D9D9"/>
      </right>
      <top style="thin">
        <color rgb="FFD9D9D9"/>
      </top>
      <bottom style="medium">
        <color rgb="FFE46C0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E46C0A"/>
      </bottom>
      <diagonal/>
    </border>
    <border>
      <left style="thin">
        <color rgb="FFD9D9D9"/>
      </left>
      <right style="medium">
        <color rgb="FFE46C0A"/>
      </right>
      <top style="thin">
        <color rgb="FFD9D9D9"/>
      </top>
      <bottom style="medium">
        <color rgb="FFE46C0A"/>
      </bottom>
      <diagonal/>
    </border>
    <border>
      <left style="thin">
        <color rgb="FFD9D9D9"/>
      </left>
      <right style="thin">
        <color rgb="FFD9D9D9"/>
      </right>
      <top style="medium">
        <color rgb="FFE46C0A"/>
      </top>
      <bottom style="medium">
        <color rgb="FFE46C0A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rgb="FFE46C0A"/>
      </top>
      <bottom style="thin">
        <color rgb="FFD9D9D9"/>
      </bottom>
      <diagonal/>
    </border>
    <border>
      <left/>
      <right/>
      <top style="medium">
        <color rgb="FFE46C0A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D9D9D9"/>
      </right>
      <top style="thin">
        <color rgb="FF000000"/>
      </top>
      <bottom/>
      <diagonal/>
    </border>
    <border>
      <left/>
      <right/>
      <top style="medium">
        <color rgb="FFE46C0A"/>
      </top>
      <bottom/>
      <diagonal/>
    </border>
    <border>
      <left/>
      <right style="thin">
        <color rgb="FFD9D9D9"/>
      </right>
      <top style="medium">
        <color rgb="FFE46C0A"/>
      </top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3" fontId="5" fillId="0" borderId="4" applyAlignment="1" pivotButton="0" quotePrefix="0" xfId="0">
      <alignment horizontal="right" vertical="center"/>
    </xf>
    <xf numFmtId="3" fontId="6" fillId="0" borderId="4" applyAlignment="1" pivotButton="0" quotePrefix="0" xfId="0">
      <alignment horizontal="right" vertical="center"/>
    </xf>
    <xf numFmtId="3" fontId="4" fillId="0" borderId="4" applyAlignment="1" pivotButton="0" quotePrefix="0" xfId="0">
      <alignment horizontal="right" vertical="center"/>
    </xf>
    <xf numFmtId="0" fontId="0" fillId="3" borderId="7" applyAlignment="1" pivotButton="0" quotePrefix="0" xfId="0">
      <alignment horizontal="center" vertical="center"/>
    </xf>
    <xf numFmtId="3" fontId="7" fillId="3" borderId="7" applyAlignment="1" pivotButton="0" quotePrefix="0" xfId="0">
      <alignment horizontal="right" vertical="center"/>
    </xf>
    <xf numFmtId="3" fontId="8" fillId="3" borderId="7" applyAlignment="1" pivotButton="0" quotePrefix="0" xfId="0">
      <alignment horizontal="right" vertical="center"/>
    </xf>
    <xf numFmtId="3" fontId="3" fillId="3" borderId="7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" fontId="7" fillId="0" borderId="7" applyAlignment="1" pivotButton="0" quotePrefix="0" xfId="0">
      <alignment horizontal="right" vertical="center"/>
    </xf>
    <xf numFmtId="3" fontId="8" fillId="0" borderId="7" applyAlignment="1" pivotButton="0" quotePrefix="0" xfId="0">
      <alignment horizontal="right" vertical="center"/>
    </xf>
    <xf numFmtId="3" fontId="3" fillId="0" borderId="7" applyAlignment="1" pivotButton="0" quotePrefix="0" xfId="0">
      <alignment horizontal="right" vertical="center"/>
    </xf>
    <xf numFmtId="0" fontId="3" fillId="0" borderId="8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right" vertical="center"/>
    </xf>
    <xf numFmtId="0" fontId="8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3" fontId="7" fillId="0" borderId="4" applyAlignment="1" pivotButton="0" quotePrefix="0" xfId="0">
      <alignment horizontal="right" vertical="center"/>
    </xf>
    <xf numFmtId="3" fontId="8" fillId="0" borderId="4" applyAlignment="1" pivotButton="0" quotePrefix="0" xfId="0">
      <alignment horizontal="right" vertical="center"/>
    </xf>
    <xf numFmtId="3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3" fontId="3" fillId="0" borderId="5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right" vertical="center"/>
    </xf>
    <xf numFmtId="0" fontId="8" fillId="0" borderId="10" applyAlignment="1" pivotButton="0" quotePrefix="0" xfId="0">
      <alignment horizontal="right" vertical="center"/>
    </xf>
    <xf numFmtId="0" fontId="3" fillId="0" borderId="10" applyAlignment="1" pivotButton="0" quotePrefix="0" xfId="0">
      <alignment horizontal="right" vertical="center"/>
    </xf>
    <xf numFmtId="165" fontId="7" fillId="0" borderId="10" applyAlignment="1" pivotButton="0" quotePrefix="0" xfId="0">
      <alignment horizontal="right" vertical="center"/>
    </xf>
    <xf numFmtId="0" fontId="3" fillId="0" borderId="1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6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166" fontId="18" fillId="0" borderId="4" applyAlignment="1" pivotButton="0" quotePrefix="0" xfId="0">
      <alignment horizontal="right" vertical="center"/>
    </xf>
    <xf numFmtId="166" fontId="19" fillId="0" borderId="4" applyAlignment="1" pivotButton="0" quotePrefix="0" xfId="0">
      <alignment horizontal="right" vertical="center"/>
    </xf>
    <xf numFmtId="166" fontId="17" fillId="0" borderId="4" applyAlignment="1" pivotButton="0" quotePrefix="0" xfId="0">
      <alignment horizontal="right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21" fillId="6" borderId="0" applyAlignment="1" pivotButton="0" quotePrefix="0" xfId="0">
      <alignment horizontal="center"/>
    </xf>
    <xf numFmtId="167" fontId="0" fillId="0" borderId="0" pivotButton="0" quotePrefix="0" xfId="0"/>
    <xf numFmtId="3" fontId="22" fillId="7" borderId="0" applyAlignment="1" pivotButton="0" quotePrefix="0" xfId="0">
      <alignment horizontal="center" vertical="center"/>
    </xf>
    <xf numFmtId="165" fontId="15" fillId="8" borderId="0" pivotButton="0" quotePrefix="0" xfId="0"/>
    <xf numFmtId="165" fontId="20" fillId="8" borderId="0" pivotButton="0" quotePrefix="0" xfId="0"/>
    <xf numFmtId="168" fontId="0" fillId="8" borderId="0" pivotButton="0" quotePrefix="0" xfId="0"/>
    <xf numFmtId="167" fontId="23" fillId="0" borderId="0" pivotButton="0" quotePrefix="0" xfId="0"/>
    <xf numFmtId="0" fontId="23" fillId="0" borderId="0" pivotButton="0" quotePrefix="0" xfId="0"/>
    <xf numFmtId="3" fontId="3" fillId="2" borderId="12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6" fontId="17" fillId="0" borderId="4" applyAlignment="1" pivotButton="0" quotePrefix="0" xfId="0">
      <alignment horizontal="right" vertical="center"/>
    </xf>
    <xf numFmtId="0" fontId="14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3" fontId="3" fillId="0" borderId="4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4" fillId="0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167" fontId="23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15" fillId="8" borderId="0" pivotButton="0" quotePrefix="0" xfId="0"/>
    <xf numFmtId="165" fontId="20" fillId="8" borderId="0" pivotButton="0" quotePrefix="0" xfId="0"/>
    <xf numFmtId="168" fontId="0" fillId="8" borderId="0" pivotButton="0" quotePrefix="0" xfId="0"/>
    <xf numFmtId="164" fontId="2" fillId="0" borderId="0" applyAlignment="1" pivotButton="0" quotePrefix="0" xfId="0">
      <alignment horizontal="center" vertical="center"/>
    </xf>
    <xf numFmtId="166" fontId="18" fillId="0" borderId="4" applyAlignment="1" pivotButton="0" quotePrefix="0" xfId="0">
      <alignment horizontal="right" vertical="center"/>
    </xf>
    <xf numFmtId="166" fontId="19" fillId="0" borderId="4" applyAlignment="1" pivotButton="0" quotePrefix="0" xfId="0">
      <alignment horizontal="right" vertical="center"/>
    </xf>
    <xf numFmtId="166" fontId="17" fillId="0" borderId="4" applyAlignment="1" pivotButton="0" quotePrefix="0" xfId="0">
      <alignment horizontal="right" vertical="center"/>
    </xf>
    <xf numFmtId="165" fontId="7" fillId="0" borderId="1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39"/>
  <sheetViews>
    <sheetView tabSelected="1" workbookViewId="0">
      <selection activeCell="J15" sqref="J15"/>
    </sheetView>
  </sheetViews>
  <sheetFormatPr baseColWidth="8" defaultRowHeight="17"/>
  <cols>
    <col width="15" customWidth="1" style="59" min="1" max="1"/>
    <col width="14.33203125" bestFit="1" customWidth="1" style="59" min="2" max="3"/>
    <col width="16.75" bestFit="1" customWidth="1" style="59" min="4" max="4"/>
    <col width="6.1640625" bestFit="1" customWidth="1" style="59" min="5" max="5"/>
    <col width="10.6640625" bestFit="1" customWidth="1" style="59" min="6" max="6"/>
    <col width="9.6640625" bestFit="1" customWidth="1" style="59" min="7" max="7"/>
    <col width="8.75" bestFit="1" customWidth="1" style="59" min="8" max="10"/>
    <col width="13.5" customWidth="1" style="59" min="11" max="11"/>
    <col width="9.6640625" bestFit="1" customWidth="1" style="59" min="12" max="12"/>
    <col width="11.58203125" customWidth="1" style="59" min="13" max="13"/>
    <col width="10.6640625" bestFit="1" customWidth="1" style="59" min="14" max="14"/>
    <col width="9.6640625" bestFit="1" customWidth="1" style="59" min="15" max="15"/>
  </cols>
  <sheetData>
    <row r="2" ht="35" customHeight="1" s="59">
      <c r="A2" s="58" t="inlineStr">
        <is>
          <t>📊 2026년 5월 매출 종합 대시보드</t>
        </is>
      </c>
    </row>
    <row r="5" ht="25" customHeight="1" s="59">
      <c r="A5" s="1" t="inlineStr">
        <is>
          <t>날짜</t>
        </is>
      </c>
      <c r="B5" s="1" t="inlineStr">
        <is>
          <t>카드 매출 (KRW)</t>
        </is>
      </c>
      <c r="C5" s="1" t="inlineStr">
        <is>
          <t>현금 매출 (KRW)</t>
        </is>
      </c>
      <c r="D5" s="1" t="inlineStr">
        <is>
          <t>일일 총 합계 (KRW)</t>
        </is>
      </c>
      <c r="E5" s="57" t="inlineStr">
        <is>
          <t>고객수</t>
        </is>
      </c>
    </row>
    <row r="6">
      <c r="A6" s="73" t="inlineStr">
        <is>
          <t>5월 1일(금)</t>
        </is>
      </c>
      <c r="B6" s="3">
        <f>'5월1일'!I27</f>
        <v/>
      </c>
      <c r="C6" s="4">
        <f>'5월1일'!J27</f>
        <v/>
      </c>
      <c r="D6" s="5">
        <f>'5월1일'!L26</f>
        <v/>
      </c>
      <c r="E6" s="5">
        <f>COUNTA('5월1일'!B6:B25)+COUNTA('5월1일'!H6:H25)</f>
        <v/>
      </c>
    </row>
    <row r="7">
      <c r="A7" s="74" t="inlineStr">
        <is>
          <t>5월 2일(토)</t>
        </is>
      </c>
      <c r="B7" s="3">
        <f>'5월2일'!I27</f>
        <v/>
      </c>
      <c r="C7" s="4">
        <f>'5월2일'!J27</f>
        <v/>
      </c>
      <c r="D7" s="5">
        <f>'5월2일'!L26</f>
        <v/>
      </c>
      <c r="E7" s="5">
        <f>COUNTA('5월2일'!B6:B25)+COUNTA('5월2일'!H6:H25)</f>
        <v/>
      </c>
    </row>
    <row r="8">
      <c r="A8" s="75" t="inlineStr">
        <is>
          <t>5월 3일(일)</t>
        </is>
      </c>
      <c r="B8" s="3">
        <f>'5월3일'!I27</f>
        <v/>
      </c>
      <c r="C8" s="4">
        <f>'5월3일'!J27</f>
        <v/>
      </c>
      <c r="D8" s="5">
        <f>'5월3일'!L26</f>
        <v/>
      </c>
      <c r="E8" s="5">
        <f>COUNTA('5월3일'!B6:B25)+COUNTA('5월3일'!H6:H25)</f>
        <v/>
      </c>
    </row>
    <row r="9">
      <c r="A9" s="73" t="inlineStr">
        <is>
          <t>5월 4일(월)</t>
        </is>
      </c>
      <c r="B9" s="3">
        <f>'5월4일'!I27</f>
        <v/>
      </c>
      <c r="C9" s="4">
        <f>'5월4일'!J27</f>
        <v/>
      </c>
      <c r="D9" s="5">
        <f>'5월4일'!L26</f>
        <v/>
      </c>
      <c r="E9" s="5">
        <f>COUNTA('5월4일'!B6:B25)+COUNTA('5월4일'!H6:H25)</f>
        <v/>
      </c>
    </row>
    <row r="10">
      <c r="A10" s="73" t="inlineStr">
        <is>
          <t>5월 5일(화)</t>
        </is>
      </c>
      <c r="B10" s="3">
        <f>'5월5일'!I27</f>
        <v/>
      </c>
      <c r="C10" s="4">
        <f>'5월5일'!J27</f>
        <v/>
      </c>
      <c r="D10" s="5">
        <f>'5월5일'!L26</f>
        <v/>
      </c>
      <c r="E10" s="5">
        <f>COUNTA('5월5일'!B6:B25)+COUNTA('5월5일'!H6:H25)</f>
        <v/>
      </c>
    </row>
    <row r="11">
      <c r="A11" s="73" t="inlineStr">
        <is>
          <t>5월 6일(수)</t>
        </is>
      </c>
      <c r="B11" s="3">
        <f>'5월6일'!I33</f>
        <v/>
      </c>
      <c r="C11" s="4">
        <f>'5월6일'!J33</f>
        <v/>
      </c>
      <c r="D11" s="5">
        <f>'5월6일'!L32</f>
        <v/>
      </c>
      <c r="E11" s="5">
        <f>COUNTA('5월6일'!B6:B25)+COUNTA('5월6일'!H6:H25)</f>
        <v/>
      </c>
    </row>
    <row r="12">
      <c r="A12" s="73" t="inlineStr">
        <is>
          <t>5월 7일(목)</t>
        </is>
      </c>
      <c r="B12" s="3">
        <f>'5월7일'!I27</f>
        <v/>
      </c>
      <c r="C12" s="4">
        <f>'5월7일'!J27</f>
        <v/>
      </c>
      <c r="D12" s="5">
        <f>'5월7일'!L26</f>
        <v/>
      </c>
      <c r="E12" s="5">
        <f>COUNTA('5월7일'!B6:B25)+COUNTA('5월7일'!H6:H25)</f>
        <v/>
      </c>
    </row>
    <row r="13">
      <c r="A13" s="73" t="inlineStr">
        <is>
          <t>5월 8일(금)</t>
        </is>
      </c>
      <c r="B13" s="3">
        <f>'5월8일'!I27</f>
        <v/>
      </c>
      <c r="C13" s="4">
        <f>'5월8일'!J27</f>
        <v/>
      </c>
      <c r="D13" s="5">
        <f>'5월8일'!L26</f>
        <v/>
      </c>
      <c r="E13" s="5">
        <f>COUNTA('5월8일'!B6:B25)+COUNTA('5월8일'!H6:H25)</f>
        <v/>
      </c>
    </row>
    <row r="14">
      <c r="A14" s="74" t="inlineStr">
        <is>
          <t>5월 9일(토)</t>
        </is>
      </c>
      <c r="B14" s="3">
        <f>'5월9일'!I27</f>
        <v/>
      </c>
      <c r="C14" s="4">
        <f>'5월9일'!J27</f>
        <v/>
      </c>
      <c r="D14" s="5">
        <f>'5월9일'!L26</f>
        <v/>
      </c>
      <c r="E14" s="5">
        <f>COUNTA('5월9일'!B6:B25)+COUNTA('5월9일'!H6:H25)</f>
        <v/>
      </c>
    </row>
    <row r="15">
      <c r="A15" s="75" t="inlineStr">
        <is>
          <t>5월 10일(일)</t>
        </is>
      </c>
      <c r="B15" s="3">
        <f>'5월10일'!I27</f>
        <v/>
      </c>
      <c r="C15" s="4">
        <f>'5월10일'!J27</f>
        <v/>
      </c>
      <c r="D15" s="5">
        <f>'5월10일'!L26</f>
        <v/>
      </c>
      <c r="E15" s="5">
        <f>COUNTA('5월10일'!B6:B25)+COUNTA('5월10일'!H6:H25)</f>
        <v/>
      </c>
    </row>
    <row r="16">
      <c r="A16" s="73" t="inlineStr">
        <is>
          <t>5월 11일(월)</t>
        </is>
      </c>
      <c r="B16" s="3">
        <f>'5월11일'!I27</f>
        <v/>
      </c>
      <c r="C16" s="4">
        <f>'5월11일'!J27</f>
        <v/>
      </c>
      <c r="D16" s="5">
        <f>'5월11일'!L26</f>
        <v/>
      </c>
      <c r="E16" s="5">
        <f>COUNTA('5월11일'!B6:B25)+COUNTA('5월11일'!H6:H25)</f>
        <v/>
      </c>
    </row>
    <row r="17">
      <c r="A17" s="73" t="inlineStr">
        <is>
          <t>5월 12일(화)</t>
        </is>
      </c>
      <c r="B17" s="3">
        <f>'5월12일'!I27</f>
        <v/>
      </c>
      <c r="C17" s="4">
        <f>'5월12일'!J27</f>
        <v/>
      </c>
      <c r="D17" s="5">
        <f>'5월12일'!L26</f>
        <v/>
      </c>
      <c r="E17" s="5">
        <f>COUNTA('5월12일'!B6:B25)+COUNTA('5월12일'!H6:H25)</f>
        <v/>
      </c>
    </row>
    <row r="18">
      <c r="A18" s="73" t="inlineStr">
        <is>
          <t>5월 13일(수)</t>
        </is>
      </c>
      <c r="B18" s="3">
        <f>'5월13일'!I27</f>
        <v/>
      </c>
      <c r="C18" s="4">
        <f>'5월13일'!J27</f>
        <v/>
      </c>
      <c r="D18" s="5">
        <f>'5월13일'!L26</f>
        <v/>
      </c>
      <c r="E18" s="5">
        <f>COUNTA('5월13일'!B6:B25)+COUNTA('5월13일'!H6:H25)</f>
        <v/>
      </c>
    </row>
    <row r="19">
      <c r="A19" s="73" t="inlineStr">
        <is>
          <t>5월 14일(목)</t>
        </is>
      </c>
      <c r="B19" s="3">
        <f>'5월14일'!I27</f>
        <v/>
      </c>
      <c r="C19" s="4">
        <f>'5월14일'!J27</f>
        <v/>
      </c>
      <c r="D19" s="5">
        <f>'5월14일'!L26</f>
        <v/>
      </c>
      <c r="E19" s="5">
        <f>COUNTA('5월14일'!B6:B25)+COUNTA('5월14일'!H6:H25)</f>
        <v/>
      </c>
    </row>
    <row r="20">
      <c r="A20" s="73" t="inlineStr">
        <is>
          <t>5월 15일(금)</t>
        </is>
      </c>
      <c r="B20" s="3">
        <f>'5월15일'!I27</f>
        <v/>
      </c>
      <c r="C20" s="4">
        <f>'5월15일'!J27</f>
        <v/>
      </c>
      <c r="D20" s="5">
        <f>'5월15일'!L26</f>
        <v/>
      </c>
      <c r="E20" s="5">
        <f>COUNTA('5월15일'!B6:B25)+COUNTA('5월15일'!H6:H25)</f>
        <v/>
      </c>
    </row>
    <row r="21">
      <c r="A21" s="74" t="inlineStr">
        <is>
          <t>5월 16일(토)</t>
        </is>
      </c>
      <c r="B21" s="3">
        <f>'5월16일'!I27</f>
        <v/>
      </c>
      <c r="C21" s="4">
        <f>'5월16일'!J27</f>
        <v/>
      </c>
      <c r="D21" s="5">
        <f>'5월16일'!L26</f>
        <v/>
      </c>
      <c r="E21" s="5">
        <f>COUNTA('5월16일'!B6:B25)+COUNTA('5월16일'!H6:H25)</f>
        <v/>
      </c>
    </row>
    <row r="22">
      <c r="A22" s="75" t="inlineStr">
        <is>
          <t>5월 17일(일)</t>
        </is>
      </c>
      <c r="B22" s="3">
        <f>'5월17일'!I27</f>
        <v/>
      </c>
      <c r="C22" s="4">
        <f>'5월17일'!J27</f>
        <v/>
      </c>
      <c r="D22" s="5">
        <f>'5월17일'!L26</f>
        <v/>
      </c>
      <c r="E22" s="5">
        <f>COUNTA('5월17일'!B6:B25)+COUNTA('5월17일'!H6:H25)</f>
        <v/>
      </c>
    </row>
    <row r="23">
      <c r="A23" s="73" t="inlineStr">
        <is>
          <t>5월 18일(월)</t>
        </is>
      </c>
      <c r="B23" s="3">
        <f>'5월18일'!I27</f>
        <v/>
      </c>
      <c r="C23" s="4">
        <f>'5월18일'!J27</f>
        <v/>
      </c>
      <c r="D23" s="5">
        <f>'5월18일'!L26</f>
        <v/>
      </c>
      <c r="E23" s="5">
        <f>COUNTA('5월18일'!B6:B25)+COUNTA('5월18일'!H6:H25)</f>
        <v/>
      </c>
    </row>
    <row r="24">
      <c r="A24" s="73" t="inlineStr">
        <is>
          <t>5월 19일(화)</t>
        </is>
      </c>
      <c r="B24" s="3">
        <f>'5월19일'!I27</f>
        <v/>
      </c>
      <c r="C24" s="4">
        <f>'5월19일'!J27</f>
        <v/>
      </c>
      <c r="D24" s="5">
        <f>'5월19일'!L26</f>
        <v/>
      </c>
      <c r="E24" s="5">
        <f>COUNTA('5월19일'!B6:B25)+COUNTA('5월19일'!H6:H25)</f>
        <v/>
      </c>
    </row>
    <row r="25">
      <c r="A25" s="73" t="inlineStr">
        <is>
          <t>5월 20일(수)</t>
        </is>
      </c>
      <c r="B25" s="3">
        <f>'5월20일'!I27</f>
        <v/>
      </c>
      <c r="C25" s="4">
        <f>'5월20일'!J27</f>
        <v/>
      </c>
      <c r="D25" s="5">
        <f>'5월20일'!L26</f>
        <v/>
      </c>
      <c r="E25" s="5">
        <f>COUNTA('5월20일'!B6:B25)+COUNTA('5월20일'!H6:H25)</f>
        <v/>
      </c>
    </row>
    <row r="26">
      <c r="A26" s="73" t="inlineStr">
        <is>
          <t>5월 21일(목)</t>
        </is>
      </c>
      <c r="B26" s="3">
        <f>'5월21일'!I27</f>
        <v/>
      </c>
      <c r="C26" s="4">
        <f>'5월21일'!J27</f>
        <v/>
      </c>
      <c r="D26" s="5">
        <f>'5월21일'!L26</f>
        <v/>
      </c>
      <c r="E26" s="5">
        <f>COUNTA('5월21일'!B6:B25)+COUNTA('5월21일'!H6:H25)</f>
        <v/>
      </c>
    </row>
    <row r="27">
      <c r="A27" s="73" t="inlineStr">
        <is>
          <t>5월 22일(금)</t>
        </is>
      </c>
      <c r="B27" s="3">
        <f>'5월22일'!I27</f>
        <v/>
      </c>
      <c r="C27" s="4">
        <f>'5월22일'!J27</f>
        <v/>
      </c>
      <c r="D27" s="5">
        <f>'5월22일'!L26</f>
        <v/>
      </c>
      <c r="E27" s="5">
        <f>COUNTA('5월22일'!B6:B25)+COUNTA('5월22일'!H6:H25)</f>
        <v/>
      </c>
      <c r="F27" s="49" t="inlineStr">
        <is>
          <t>입대료</t>
        </is>
      </c>
      <c r="G27" s="49" t="inlineStr">
        <is>
          <t>전기세</t>
        </is>
      </c>
      <c r="H27" s="49" t="inlineStr">
        <is>
          <t>전화</t>
        </is>
      </c>
      <c r="I27" s="49" t="inlineStr">
        <is>
          <t>정수기</t>
        </is>
      </c>
      <c r="J27" s="49" t="inlineStr">
        <is>
          <t>택배비</t>
        </is>
      </c>
      <c r="K27" s="49" t="inlineStr">
        <is>
          <t>물건값</t>
        </is>
      </c>
      <c r="L27" s="49" t="inlineStr">
        <is>
          <t>기타(식대)</t>
        </is>
      </c>
      <c r="M27" s="49" t="inlineStr">
        <is>
          <t>비고</t>
        </is>
      </c>
      <c r="N27" s="49" t="inlineStr">
        <is>
          <t>합계</t>
        </is>
      </c>
    </row>
    <row r="28">
      <c r="A28" s="74" t="inlineStr">
        <is>
          <t>5월 23일(토)</t>
        </is>
      </c>
      <c r="B28" s="3">
        <f>'5월23일'!I27</f>
        <v/>
      </c>
      <c r="C28" s="4">
        <f>'5월23일'!J27</f>
        <v/>
      </c>
      <c r="D28" s="5">
        <f>'5월23일'!L26</f>
        <v/>
      </c>
      <c r="E28" s="5">
        <f>COUNTA('5월23일'!B6:B25)+COUNTA('5월23일'!H6:H25)</f>
        <v/>
      </c>
      <c r="F28" s="76" t="n">
        <v>1400000</v>
      </c>
      <c r="G28" s="76" t="n">
        <v>300000</v>
      </c>
      <c r="H28" s="76" t="n">
        <v>5000</v>
      </c>
      <c r="I28" s="76" t="n">
        <v>25000</v>
      </c>
      <c r="J28" s="76" t="n">
        <v>50000</v>
      </c>
      <c r="K28" s="76" t="n">
        <v>6000000</v>
      </c>
      <c r="L28" s="56" t="n"/>
      <c r="M28" s="56" t="n"/>
      <c r="N28" s="76">
        <f>SUM(F28:M28)</f>
        <v/>
      </c>
      <c r="O28" s="77" t="n"/>
    </row>
    <row r="29">
      <c r="A29" s="75" t="inlineStr">
        <is>
          <t>5월 24일(일)</t>
        </is>
      </c>
      <c r="B29" s="3">
        <f>'5월24일'!I27</f>
        <v/>
      </c>
      <c r="C29" s="4">
        <f>'5월24일'!J27</f>
        <v/>
      </c>
      <c r="D29" s="5">
        <f>'5월24일'!L26</f>
        <v/>
      </c>
      <c r="E29" s="5">
        <f>COUNTA('5월24일'!B6:B25)+COUNTA('5월24일'!H6:H25)</f>
        <v/>
      </c>
    </row>
    <row r="30">
      <c r="A30" s="73" t="inlineStr">
        <is>
          <t>5월 25일(월)</t>
        </is>
      </c>
      <c r="B30" s="3">
        <f>'5월25일'!I27</f>
        <v/>
      </c>
      <c r="C30" s="4">
        <f>'5월25일'!J27</f>
        <v/>
      </c>
      <c r="D30" s="5">
        <f>'5월25일'!L26</f>
        <v/>
      </c>
      <c r="E30" s="5">
        <f>COUNTA('5월25일'!B6:B25)+COUNTA('5월25일'!H6:H25)</f>
        <v/>
      </c>
    </row>
    <row r="31">
      <c r="A31" s="73" t="inlineStr">
        <is>
          <t>5월 26일(화)</t>
        </is>
      </c>
      <c r="B31" s="3">
        <f>'5월26일'!I27</f>
        <v/>
      </c>
      <c r="C31" s="4">
        <f>'5월26일'!J27</f>
        <v/>
      </c>
      <c r="D31" s="5">
        <f>'5월26일'!L26</f>
        <v/>
      </c>
      <c r="E31" s="5">
        <f>COUNTA('5월26일'!B6:B25)+COUNTA('5월26일'!H6:H25)</f>
        <v/>
      </c>
    </row>
    <row r="32">
      <c r="A32" s="73" t="inlineStr">
        <is>
          <t>5월 27일(수)</t>
        </is>
      </c>
      <c r="B32" s="3">
        <f>'5월27일'!I27</f>
        <v/>
      </c>
      <c r="C32" s="4">
        <f>'5월27일'!J27</f>
        <v/>
      </c>
      <c r="D32" s="5">
        <f>'5월27일'!L26</f>
        <v/>
      </c>
      <c r="E32" s="5">
        <f>COUNTA('5월27일'!B6:B25)+COUNTA('5월27일'!H6:H25)</f>
        <v/>
      </c>
    </row>
    <row r="33">
      <c r="A33" s="73" t="inlineStr">
        <is>
          <t>5월 28일(목)</t>
        </is>
      </c>
      <c r="B33" s="3">
        <f>'5월28일'!I27</f>
        <v/>
      </c>
      <c r="C33" s="4">
        <f>'5월28일'!J27</f>
        <v/>
      </c>
      <c r="D33" s="5">
        <f>'5월28일'!L26</f>
        <v/>
      </c>
      <c r="E33" s="5">
        <f>COUNTA('5월28일'!B6:B25)+COUNTA('5월28일'!H6:H25)</f>
        <v/>
      </c>
    </row>
    <row r="34">
      <c r="A34" s="73" t="inlineStr">
        <is>
          <t>5월 29일(금)</t>
        </is>
      </c>
      <c r="B34" s="3">
        <f>'5월29일'!I27</f>
        <v/>
      </c>
      <c r="C34" s="4">
        <f>'5월29일'!J27</f>
        <v/>
      </c>
      <c r="D34" s="5">
        <f>'5월29일'!L26</f>
        <v/>
      </c>
      <c r="E34" s="5">
        <f>COUNTA('5월29일'!B6:B25)+COUNTA('5월29일'!H6:H25)</f>
        <v/>
      </c>
    </row>
    <row r="35">
      <c r="A35" s="74" t="inlineStr">
        <is>
          <t>5월 30일(토)</t>
        </is>
      </c>
      <c r="B35" s="3">
        <f>'5월30일'!I27</f>
        <v/>
      </c>
      <c r="C35" s="4">
        <f>'5월30일'!J27</f>
        <v/>
      </c>
      <c r="D35" s="5">
        <f>'5월30일'!L26</f>
        <v/>
      </c>
      <c r="E35" s="5">
        <f>COUNTA('5월30일'!B6:B25)+COUNTA('5월30일'!H6:H25)</f>
        <v/>
      </c>
    </row>
    <row r="36">
      <c r="A36" s="75" t="inlineStr">
        <is>
          <t>5월 31일(일)</t>
        </is>
      </c>
      <c r="B36" s="3">
        <f>'5월31일'!I27</f>
        <v/>
      </c>
      <c r="C36" s="4">
        <f>'5월31일'!J27</f>
        <v/>
      </c>
      <c r="D36" s="5">
        <f>'5월31일'!L26</f>
        <v/>
      </c>
      <c r="E36" s="5">
        <f>COUNTA('5월31일'!B6:B25)+COUNTA('5월31일'!H6:H25)</f>
        <v/>
      </c>
    </row>
    <row r="37">
      <c r="A37" s="6" t="inlineStr">
        <is>
          <t>월 총 합계</t>
        </is>
      </c>
      <c r="B37" s="7">
        <f>SUM(B6:B36)</f>
        <v/>
      </c>
      <c r="C37" s="8">
        <f>SUM(C6:C36)</f>
        <v/>
      </c>
      <c r="D37" s="9">
        <f>SUM(D6:D36)</f>
        <v/>
      </c>
      <c r="E37" s="9">
        <f>SUM(E6:E36)</f>
        <v/>
      </c>
    </row>
    <row r="38" customFormat="1" s="47">
      <c r="B38" s="47" t="inlineStr">
        <is>
          <t>카드</t>
        </is>
      </c>
      <c r="C38" s="47" t="inlineStr">
        <is>
          <t>현금</t>
        </is>
      </c>
      <c r="F38" s="51">
        <f>D37-N28</f>
        <v/>
      </c>
    </row>
    <row r="39" customFormat="1" s="78">
      <c r="B39" s="79">
        <f>B37/D37</f>
        <v/>
      </c>
      <c r="C39" s="80">
        <f>C37/D37</f>
        <v/>
      </c>
      <c r="D39" s="81">
        <f>D37/31</f>
        <v/>
      </c>
      <c r="E39" s="81" t="n"/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H13" sqref="H13"/>
    </sheetView>
  </sheetViews>
  <sheetFormatPr baseColWidth="8" defaultRowHeight="17"/>
  <cols>
    <col width="4" customWidth="1" style="61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2026-05-01(금)</t>
        </is>
      </c>
    </row>
    <row r="5" ht="25" customFormat="1" customHeight="1" s="31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제이디엑스티,김영주티,여라운드2</t>
        </is>
      </c>
      <c r="C6" s="63" t="n"/>
      <c r="D6" s="64" t="n"/>
      <c r="E6" s="83" t="n">
        <v>160000</v>
      </c>
      <c r="F6" s="84" t="n"/>
      <c r="G6" s="85">
        <f>E6+F6</f>
        <v/>
      </c>
      <c r="H6" s="45" t="inlineStr">
        <is>
          <t>김영주반팔,조르지오,청바지2</t>
        </is>
      </c>
      <c r="I6" s="83" t="n">
        <v>104000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n"/>
      <c r="C7" s="63" t="n"/>
      <c r="D7" s="64" t="n"/>
      <c r="E7" s="83" t="n"/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I27</f>
        <v/>
      </c>
      <c r="J28" s="21">
        <f>J27</f>
        <v/>
      </c>
      <c r="K28" s="69">
        <f>L26</f>
        <v/>
      </c>
      <c r="L28" s="69">
        <f>L26</f>
        <v/>
      </c>
      <c r="M28" s="64" t="n"/>
      <c r="N28" s="19" t="n"/>
      <c r="O28" s="24">
        <f>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:O3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2026-05-02(토)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망사조끼2</t>
        </is>
      </c>
      <c r="C6" s="63" t="n"/>
      <c r="D6" s="64" t="n"/>
      <c r="E6" s="83" t="n"/>
      <c r="F6" s="84" t="n">
        <v>20000</v>
      </c>
      <c r="G6" s="85">
        <f>E6+F6</f>
        <v/>
      </c>
      <c r="H6" s="45" t="inlineStr">
        <is>
          <t>김영주바람막이,JDX바람막이
김영주카라티,조르지오티,JDX카라티</t>
        </is>
      </c>
      <c r="I6" s="83" t="n">
        <v>250000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남바지3</t>
        </is>
      </c>
      <c r="C7" s="63" t="n"/>
      <c r="D7" s="64" t="n"/>
      <c r="E7" s="83" t="n"/>
      <c r="F7" s="84" t="n">
        <v>45000</v>
      </c>
      <c r="G7" s="85">
        <f>E7+F7</f>
        <v/>
      </c>
      <c r="H7" s="62" t="inlineStr">
        <is>
          <t>냉츄리닝</t>
        </is>
      </c>
      <c r="I7" s="83" t="n">
        <v>15000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슬레진져조끼2</t>
        </is>
      </c>
      <c r="C8" s="63" t="n"/>
      <c r="D8" s="64" t="n"/>
      <c r="E8" s="83" t="n">
        <v>50000</v>
      </c>
      <c r="F8" s="84" t="n"/>
      <c r="G8" s="85">
        <f>E8+F8</f>
        <v/>
      </c>
      <c r="H8" s="62" t="inlineStr">
        <is>
          <t>김영주티</t>
        </is>
      </c>
      <c r="I8" s="83" t="n">
        <v>39000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남청바지2,남바지2</t>
        </is>
      </c>
      <c r="C9" s="63" t="n"/>
      <c r="D9" s="64" t="n"/>
      <c r="E9" s="83" t="n">
        <v>70000</v>
      </c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'5월1일'!I28+I27</f>
        <v/>
      </c>
      <c r="J28" s="21">
        <f>'5월1일'!J28+J27</f>
        <v/>
      </c>
      <c r="K28" s="69">
        <f>'5월1일'!K28+L26</f>
        <v/>
      </c>
      <c r="L28" s="69">
        <f>'5월1일'!L28+L26</f>
        <v/>
      </c>
      <c r="M28" s="64" t="n"/>
      <c r="N28" s="19" t="n"/>
      <c r="O28" s="24">
        <f>'5월1일'!O28+N26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:O3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2026-05-03(일)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라운드티3</t>
        </is>
      </c>
      <c r="C6" s="63" t="n"/>
      <c r="D6" s="64" t="n"/>
      <c r="E6" s="83" t="n">
        <v>75000</v>
      </c>
      <c r="F6" s="84" t="n"/>
      <c r="G6" s="85">
        <f>E6+F6</f>
        <v/>
      </c>
      <c r="H6" s="45" t="inlineStr">
        <is>
          <t>여브이넥,남조끼</t>
        </is>
      </c>
      <c r="I6" s="83" t="n">
        <v>55000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스프리스바람막이,색바랜청바지2</t>
        </is>
      </c>
      <c r="C7" s="63" t="n"/>
      <c r="D7" s="64" t="n"/>
      <c r="E7" s="83" t="n">
        <v>55000</v>
      </c>
      <c r="F7" s="84" t="n"/>
      <c r="G7" s="85">
        <f>E7+F7</f>
        <v/>
      </c>
      <c r="H7" s="62" t="inlineStr">
        <is>
          <t>김영주바지,JDX바지,김영주티2
JDX카라티</t>
        </is>
      </c>
      <c r="I7" s="83" t="n"/>
      <c r="J7" s="84" t="n">
        <v>230000</v>
      </c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망사조끼</t>
        </is>
      </c>
      <c r="C8" s="63" t="n"/>
      <c r="D8" s="64" t="n"/>
      <c r="E8" s="83" t="n">
        <v>18000</v>
      </c>
      <c r="F8" s="84" t="n"/>
      <c r="G8" s="85">
        <f>E8+F8</f>
        <v/>
      </c>
      <c r="H8" s="62" t="inlineStr">
        <is>
          <t>김영주반팔티</t>
        </is>
      </c>
      <c r="I8" s="83" t="n">
        <v>29000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청바지,여반목티</t>
        </is>
      </c>
      <c r="C9" s="63" t="n"/>
      <c r="D9" s="64" t="n"/>
      <c r="E9" s="83" t="n">
        <v>30000</v>
      </c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inlineStr">
        <is>
          <t>조르지오여티,이원재여티2,이너
웨어,스프리스바람막이,남티
김영주남티,츄리닝2,토시</t>
        </is>
      </c>
      <c r="C10" s="63" t="n"/>
      <c r="D10" s="64" t="n"/>
      <c r="E10" s="83" t="n"/>
      <c r="F10" s="84" t="n">
        <v>202000</v>
      </c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K28/3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'5월2일'!I28+I27</f>
        <v/>
      </c>
      <c r="J28" s="21">
        <f>'5월2일'!J28+J27</f>
        <v/>
      </c>
      <c r="K28" s="69">
        <f>'5월2일'!K28+L26</f>
        <v/>
      </c>
      <c r="L28" s="69">
        <f>'5월2일'!L28+L26</f>
        <v/>
      </c>
      <c r="M28" s="64" t="n"/>
      <c r="N28" s="19" t="n"/>
      <c r="O28" s="24">
        <f>'5월2일'!O28+N26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:O3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2026-05-04(월)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남카라티2</t>
        </is>
      </c>
      <c r="C6" s="63" t="n"/>
      <c r="D6" s="64" t="n"/>
      <c r="E6" s="83" t="n">
        <v>20000</v>
      </c>
      <c r="F6" s="84" t="n"/>
      <c r="G6" s="85">
        <f>E6+F6</f>
        <v/>
      </c>
      <c r="H6" s="45" t="inlineStr">
        <is>
          <t>남청바지</t>
        </is>
      </c>
      <c r="I6" s="83" t="n">
        <v>20000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n"/>
      <c r="C7" s="63" t="n"/>
      <c r="D7" s="64" t="n"/>
      <c r="E7" s="83" t="n"/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K28/4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'5월3일'!I28+I27</f>
        <v/>
      </c>
      <c r="J28" s="21">
        <f>'5월3일'!J28+J27</f>
        <v/>
      </c>
      <c r="K28" s="69">
        <f>'5월3일'!K28+L26</f>
        <v/>
      </c>
      <c r="L28" s="69">
        <f>'5월3일'!L28+L26</f>
        <v/>
      </c>
      <c r="M28" s="64" t="n"/>
      <c r="N28" s="19" t="n"/>
      <c r="O28" s="24">
        <f>'5월3일'!O28+N26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:O3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2026-05-05(화)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몸빼2</t>
        </is>
      </c>
      <c r="C6" s="63" t="n"/>
      <c r="D6" s="64" t="n"/>
      <c r="E6" s="83" t="n">
        <v>10000</v>
      </c>
      <c r="F6" s="84" t="n"/>
      <c r="G6" s="85">
        <f>E6+F6</f>
        <v/>
      </c>
      <c r="H6" s="45" t="inlineStr">
        <is>
          <t>냉츄리닝,색바랜바람막이</t>
        </is>
      </c>
      <c r="I6" s="83" t="n">
        <v>25000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남바지2,이원재카라티2</t>
        </is>
      </c>
      <c r="C7" s="63" t="n"/>
      <c r="D7" s="64" t="n"/>
      <c r="E7" s="83" t="n">
        <v>60000</v>
      </c>
      <c r="F7" s="84" t="n"/>
      <c r="G7" s="85">
        <f>E7+F7</f>
        <v/>
      </c>
      <c r="H7" s="62" t="inlineStr">
        <is>
          <t>양말2</t>
        </is>
      </c>
      <c r="I7" s="83" t="n">
        <v>2000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조르지오카라티,이너웨어</t>
        </is>
      </c>
      <c r="C8" s="63" t="n"/>
      <c r="D8" s="64" t="n"/>
      <c r="E8" s="83" t="n">
        <v>50000</v>
      </c>
      <c r="F8" s="84" t="n"/>
      <c r="G8" s="85">
        <f>E8+F8</f>
        <v/>
      </c>
      <c r="H8" s="62" t="inlineStr">
        <is>
          <t>남조끼,두건2</t>
        </is>
      </c>
      <c r="I8" s="83" t="n">
        <v>45000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K28/5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'5월4일'!I28+I27</f>
        <v/>
      </c>
      <c r="J28" s="21">
        <f>'5월4일'!J28+J27</f>
        <v/>
      </c>
      <c r="K28" s="69">
        <f>'5월4일'!K28+L26</f>
        <v/>
      </c>
      <c r="L28" s="69">
        <f>'5월4일'!L28+L26</f>
        <v/>
      </c>
      <c r="M28" s="64" t="n"/>
      <c r="N28" s="19" t="n"/>
      <c r="O28" s="24">
        <f>'5월4일'!O28+N26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:O3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2026-05-06(수)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쟌바지,나이키라운드티</t>
        </is>
      </c>
      <c r="C6" s="63" t="n"/>
      <c r="D6" s="64" t="n"/>
      <c r="E6" s="83" t="n">
        <v>60000</v>
      </c>
      <c r="F6" s="84" t="n"/>
      <c r="G6" s="85">
        <f>E6+F6</f>
        <v/>
      </c>
      <c r="H6" s="45" t="inlineStr">
        <is>
          <t>JDX티,이원재티,여브이넥,김영주바지2,벨트</t>
        </is>
      </c>
      <c r="I6" s="83" t="n">
        <v>200000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남라운드티,토시</t>
        </is>
      </c>
      <c r="C7" s="63" t="n"/>
      <c r="D7" s="64" t="n"/>
      <c r="E7" s="83" t="n">
        <v>15000</v>
      </c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0" customHeight="1" s="59">
      <c r="A26" s="36" t="n">
        <v>21</v>
      </c>
      <c r="B26" s="62" t="n"/>
      <c r="C26" s="63" t="n"/>
      <c r="D26" s="64" t="n"/>
      <c r="E26" s="83" t="n"/>
      <c r="F26" s="84" t="n"/>
      <c r="G26" s="85">
        <f>E26+F26</f>
        <v/>
      </c>
      <c r="H26" s="62" t="n"/>
      <c r="I26" s="83" t="n"/>
      <c r="J26" s="84" t="n"/>
      <c r="K26" s="85">
        <f>I26+J26</f>
        <v/>
      </c>
      <c r="L26" s="46" t="n"/>
      <c r="M26" s="62" t="n"/>
      <c r="N26" s="85" t="n"/>
      <c r="O26" s="64" t="n"/>
    </row>
    <row r="27" ht="20" customHeight="1" s="59">
      <c r="A27" s="36" t="n">
        <v>22</v>
      </c>
      <c r="B27" s="62" t="n"/>
      <c r="C27" s="63" t="n"/>
      <c r="D27" s="64" t="n"/>
      <c r="E27" s="83" t="n"/>
      <c r="F27" s="84" t="n"/>
      <c r="G27" s="85">
        <f>E27+F27</f>
        <v/>
      </c>
      <c r="H27" s="62" t="n"/>
      <c r="I27" s="83" t="n"/>
      <c r="J27" s="84" t="n"/>
      <c r="K27" s="85">
        <f>I27+J27</f>
        <v/>
      </c>
      <c r="L27" s="46" t="n"/>
      <c r="M27" s="62" t="n"/>
      <c r="N27" s="85" t="n"/>
      <c r="O27" s="64" t="n"/>
    </row>
    <row r="28" ht="20" customHeight="1" s="59">
      <c r="A28" s="36" t="n">
        <v>23</v>
      </c>
      <c r="B28" s="62" t="n"/>
      <c r="C28" s="63" t="n"/>
      <c r="D28" s="64" t="n"/>
      <c r="E28" s="83" t="n"/>
      <c r="F28" s="84" t="n"/>
      <c r="G28" s="85">
        <f>E28+F28</f>
        <v/>
      </c>
      <c r="H28" s="62" t="n"/>
      <c r="I28" s="83" t="n"/>
      <c r="J28" s="84" t="n"/>
      <c r="K28" s="85">
        <f>I28+J28</f>
        <v/>
      </c>
      <c r="L28" s="46" t="n"/>
      <c r="M28" s="62" t="n"/>
      <c r="N28" s="85" t="n"/>
      <c r="O28" s="64" t="n"/>
    </row>
    <row r="29" ht="20" customHeight="1" s="59">
      <c r="A29" s="36" t="n">
        <v>24</v>
      </c>
      <c r="B29" s="62" t="n"/>
      <c r="C29" s="63" t="n"/>
      <c r="D29" s="64" t="n"/>
      <c r="E29" s="83" t="n"/>
      <c r="F29" s="84" t="n"/>
      <c r="G29" s="85">
        <f>E29+F29</f>
        <v/>
      </c>
      <c r="H29" s="62" t="n"/>
      <c r="I29" s="83" t="n"/>
      <c r="J29" s="84" t="n"/>
      <c r="K29" s="85">
        <f>I29+J29</f>
        <v/>
      </c>
      <c r="L29" s="46" t="n"/>
      <c r="M29" s="62" t="n"/>
      <c r="N29" s="85" t="n"/>
      <c r="O29" s="64" t="n"/>
    </row>
    <row r="30" ht="20" customHeight="1" s="59">
      <c r="A30" s="36" t="n">
        <v>25</v>
      </c>
      <c r="B30" s="62" t="n"/>
      <c r="C30" s="63" t="n"/>
      <c r="D30" s="64" t="n"/>
      <c r="E30" s="83" t="n"/>
      <c r="F30" s="84" t="n"/>
      <c r="G30" s="85">
        <f>E30+F30</f>
        <v/>
      </c>
      <c r="H30" s="62" t="n"/>
      <c r="I30" s="83" t="n"/>
      <c r="J30" s="84" t="n"/>
      <c r="K30" s="85">
        <f>I30+J30</f>
        <v/>
      </c>
      <c r="L30" s="46" t="n"/>
      <c r="M30" s="62" t="n"/>
      <c r="N30" s="85" t="n"/>
      <c r="O30" s="64" t="n"/>
    </row>
    <row r="31" ht="20" customHeight="1" s="59">
      <c r="A31" s="36" t="n">
        <v>26</v>
      </c>
      <c r="B31" s="62" t="n"/>
      <c r="C31" s="63" t="n"/>
      <c r="D31" s="64" t="n"/>
      <c r="E31" s="83" t="n"/>
      <c r="F31" s="84" t="n"/>
      <c r="G31" s="85">
        <f>E31+F31</f>
        <v/>
      </c>
      <c r="H31" s="62" t="n"/>
      <c r="I31" s="83" t="n"/>
      <c r="J31" s="84" t="n"/>
      <c r="K31" s="85">
        <f>I31+J31</f>
        <v/>
      </c>
      <c r="L31" s="46" t="n"/>
      <c r="M31" s="62" t="n"/>
      <c r="N31" s="85" t="n"/>
      <c r="O31" s="64" t="n"/>
    </row>
    <row r="32" ht="22" customHeight="1" s="59">
      <c r="A32" s="33" t="n"/>
      <c r="B32" s="70" t="inlineStr">
        <is>
          <t>합   계</t>
        </is>
      </c>
      <c r="C32" s="71" t="n"/>
      <c r="D32" s="72" t="n"/>
      <c r="E32" s="12">
        <f>SUM(E6:E31)</f>
        <v/>
      </c>
      <c r="F32" s="13">
        <f>SUM(F6:F31)</f>
        <v/>
      </c>
      <c r="G32" s="14">
        <f>E32+F32</f>
        <v/>
      </c>
      <c r="H32" s="70" t="n"/>
      <c r="I32" s="12">
        <f>SUM(I6:I31)</f>
        <v/>
      </c>
      <c r="J32" s="13">
        <f>SUM(J6:J31)</f>
        <v/>
      </c>
      <c r="K32" s="14">
        <f>I32+J32</f>
        <v/>
      </c>
      <c r="L32" s="14">
        <f>G32+K32</f>
        <v/>
      </c>
      <c r="M32" s="70" t="n"/>
      <c r="N32" s="14">
        <f>SUM(N6:N31)</f>
        <v/>
      </c>
      <c r="O32" s="15" t="n"/>
    </row>
    <row r="33" ht="20" customHeight="1" s="59">
      <c r="A33" s="34" t="n"/>
      <c r="B33" s="16" t="n"/>
      <c r="C33" s="16" t="n"/>
      <c r="D33" s="16" t="n"/>
      <c r="E33" s="17" t="n"/>
      <c r="F33" s="18" t="n"/>
      <c r="G33" s="19" t="n"/>
      <c r="H33" s="16" t="n"/>
      <c r="I33" s="20">
        <f>E32+I32</f>
        <v/>
      </c>
      <c r="J33" s="21">
        <f>F32+J32</f>
        <v/>
      </c>
      <c r="K33" s="19" t="n"/>
      <c r="L33" s="69">
        <f>K34/6</f>
        <v/>
      </c>
      <c r="M33" s="16" t="n"/>
      <c r="N33" s="19" t="n"/>
      <c r="O33" s="23" t="n"/>
    </row>
    <row r="34" ht="20" customHeight="1" s="59">
      <c r="A34" s="34" t="n"/>
      <c r="B34" s="16" t="n"/>
      <c r="C34" s="16" t="n"/>
      <c r="D34" s="16" t="n"/>
      <c r="E34" s="17" t="n"/>
      <c r="F34" s="18" t="n"/>
      <c r="G34" s="19" t="n"/>
      <c r="H34" s="16" t="n"/>
      <c r="I34" s="20">
        <f>'5월5일'!I28+I33</f>
        <v/>
      </c>
      <c r="J34" s="21">
        <f>'5월5일'!J28+J33</f>
        <v/>
      </c>
      <c r="K34" s="69">
        <f>'5월5일'!K28+L32</f>
        <v/>
      </c>
      <c r="L34" s="69">
        <f>'5월5일'!L28+L32</f>
        <v/>
      </c>
      <c r="M34" s="64" t="n"/>
      <c r="N34" s="19" t="n"/>
      <c r="O34" s="24">
        <f>'5월5일'!O28+N32</f>
        <v/>
      </c>
    </row>
    <row r="35" ht="20" customHeight="1" s="59">
      <c r="A35" s="35" t="n"/>
      <c r="B35" s="25" t="n"/>
      <c r="C35" s="25" t="n"/>
      <c r="D35" s="25" t="n"/>
      <c r="E35" s="26" t="n"/>
      <c r="F35" s="27" t="n"/>
      <c r="G35" s="28" t="n"/>
      <c r="H35" s="25" t="n"/>
      <c r="I35" s="86">
        <f>I34/K34</f>
        <v/>
      </c>
      <c r="J35" s="27" t="n"/>
      <c r="K35" s="28" t="n"/>
      <c r="L35" s="28" t="n"/>
      <c r="M35" s="25" t="n"/>
      <c r="N35" s="28" t="n"/>
      <c r="O35" s="30" t="n"/>
    </row>
  </sheetData>
  <mergeCells count="57">
    <mergeCell ref="N26:O26"/>
    <mergeCell ref="B11:D11"/>
    <mergeCell ref="B14:D14"/>
    <mergeCell ref="N20:O20"/>
    <mergeCell ref="N11:O11"/>
    <mergeCell ref="N7:O7"/>
    <mergeCell ref="B23:D23"/>
    <mergeCell ref="B8:D8"/>
    <mergeCell ref="N16:O16"/>
    <mergeCell ref="B17:D17"/>
    <mergeCell ref="N25:O25"/>
    <mergeCell ref="B13:D13"/>
    <mergeCell ref="B29:D29"/>
    <mergeCell ref="N22:O22"/>
    <mergeCell ref="B10:D10"/>
    <mergeCell ref="B28:D28"/>
    <mergeCell ref="B19:D19"/>
    <mergeCell ref="N21:O21"/>
    <mergeCell ref="N12:O12"/>
    <mergeCell ref="B9:D9"/>
    <mergeCell ref="N18:O18"/>
    <mergeCell ref="B30:D30"/>
    <mergeCell ref="N5:O5"/>
    <mergeCell ref="N23:O23"/>
    <mergeCell ref="B15:D15"/>
    <mergeCell ref="B6:D6"/>
    <mergeCell ref="N8:O8"/>
    <mergeCell ref="N14:O14"/>
    <mergeCell ref="B20:D20"/>
    <mergeCell ref="B24:D24"/>
    <mergeCell ref="N17:O17"/>
    <mergeCell ref="B5:D5"/>
    <mergeCell ref="N29:O29"/>
    <mergeCell ref="B32:D32"/>
    <mergeCell ref="B26:D26"/>
    <mergeCell ref="N10:O10"/>
    <mergeCell ref="N28:O28"/>
    <mergeCell ref="N19:O19"/>
    <mergeCell ref="B7:D7"/>
    <mergeCell ref="B25:D25"/>
    <mergeCell ref="N13:O13"/>
    <mergeCell ref="N31:O31"/>
    <mergeCell ref="B16:D16"/>
    <mergeCell ref="N9:O9"/>
    <mergeCell ref="L34:M34"/>
    <mergeCell ref="N30:O30"/>
    <mergeCell ref="N15:O15"/>
    <mergeCell ref="B31:D31"/>
    <mergeCell ref="N6:O6"/>
    <mergeCell ref="B22:D22"/>
    <mergeCell ref="N24:O24"/>
    <mergeCell ref="B18:D18"/>
    <mergeCell ref="B27:D27"/>
    <mergeCell ref="B21:D21"/>
    <mergeCell ref="A1:O3"/>
    <mergeCell ref="N27:O27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G39" sqref="G39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2026-05-07(목)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김영주바람막이</t>
        </is>
      </c>
      <c r="C6" s="63" t="n"/>
      <c r="D6" s="64" t="n"/>
      <c r="E6" s="83" t="n">
        <v>55000</v>
      </c>
      <c r="F6" s="84" t="n"/>
      <c r="G6" s="85">
        <f>E6+F6</f>
        <v/>
      </c>
      <c r="H6" s="45" t="inlineStr">
        <is>
          <t>색바랜베낭(소형),몸빼</t>
        </is>
      </c>
      <c r="I6" s="83" t="n">
        <v>15000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남바지</t>
        </is>
      </c>
      <c r="C7" s="63" t="n"/>
      <c r="D7" s="64" t="n"/>
      <c r="E7" s="83" t="n">
        <v>15000</v>
      </c>
      <c r="F7" s="84" t="n"/>
      <c r="G7" s="85">
        <f>E7+F7</f>
        <v/>
      </c>
      <c r="H7" s="62" t="inlineStr">
        <is>
          <t>청바지,남바지,나이키라운드티2
김영주바지</t>
        </is>
      </c>
      <c r="I7" s="83" t="n">
        <v>130000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K28/7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'5월6일'!I34+I27</f>
        <v/>
      </c>
      <c r="J28" s="21">
        <f>'5월6일'!J34+J27</f>
        <v/>
      </c>
      <c r="K28" s="69">
        <f>'5월6일'!K34+L26</f>
        <v/>
      </c>
      <c r="L28" s="69">
        <f>'5월6일'!L34+L26</f>
        <v/>
      </c>
      <c r="M28" s="64" t="n"/>
      <c r="N28" s="19" t="n"/>
      <c r="O28" s="24">
        <f>'5월6일'!O34+N26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2026-05-08(금)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이원재 반팔</t>
        </is>
      </c>
      <c r="C6" s="63" t="n"/>
      <c r="D6" s="64" t="n"/>
      <c r="E6" s="83" t="n">
        <v>29000</v>
      </c>
      <c r="F6" s="84" t="n"/>
      <c r="G6" s="85">
        <f>E6+F6</f>
        <v/>
      </c>
      <c r="H6" s="45" t="inlineStr">
        <is>
          <t>긴팔3,양말2</t>
        </is>
      </c>
      <c r="I6" s="83" t="n">
        <v>50000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야크반팔</t>
        </is>
      </c>
      <c r="C7" s="63" t="n"/>
      <c r="D7" s="64" t="n"/>
      <c r="E7" s="83" t="n">
        <v>49000</v>
      </c>
      <c r="F7" s="84" t="n"/>
      <c r="G7" s="85">
        <f>E7+F7</f>
        <v/>
      </c>
      <c r="H7" s="62" t="inlineStr">
        <is>
          <t>티,반팔,바지,김영주반팔</t>
        </is>
      </c>
      <c r="I7" s="83" t="n">
        <v>74000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K28/8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'5월7일'!I28+I27</f>
        <v/>
      </c>
      <c r="J28" s="21">
        <f>'5월7일'!J28+J27</f>
        <v/>
      </c>
      <c r="K28" s="69">
        <f>'5월7일'!K28+L26</f>
        <v/>
      </c>
      <c r="L28" s="69">
        <f>'5월7일'!L28+L26</f>
        <v/>
      </c>
      <c r="M28" s="64" t="n"/>
      <c r="N28" s="19" t="n"/>
      <c r="O28" s="24">
        <f>'5월7일'!O28+N26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2026-05-09(토)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데니스카라티</t>
        </is>
      </c>
      <c r="C6" s="63" t="n"/>
      <c r="D6" s="64" t="n"/>
      <c r="E6" s="83" t="n">
        <v>49000</v>
      </c>
      <c r="F6" s="84" t="n"/>
      <c r="G6" s="85">
        <f>E6+F6</f>
        <v/>
      </c>
      <c r="H6" s="45" t="inlineStr">
        <is>
          <t>벨트,김영주반팔티,조르지오긴티
몽피크바자,나이키츄리닝바지</t>
        </is>
      </c>
      <c r="I6" s="83" t="n">
        <v>170000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거미반바지,나이키라운드티</t>
        </is>
      </c>
      <c r="C7" s="63" t="n"/>
      <c r="D7" s="64" t="n"/>
      <c r="E7" s="83" t="n">
        <v>55000</v>
      </c>
      <c r="F7" s="84" t="n"/>
      <c r="G7" s="85">
        <f>E7+F7</f>
        <v/>
      </c>
      <c r="H7" s="62" t="inlineStr">
        <is>
          <t>김영주티,조르지오티</t>
        </is>
      </c>
      <c r="I7" s="83" t="n">
        <v>70000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밀리자켓,밀리바지,망사조끼(당근)</t>
        </is>
      </c>
      <c r="C8" s="63" t="n"/>
      <c r="D8" s="64" t="n"/>
      <c r="E8" s="83" t="n">
        <v>50000</v>
      </c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K28/9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'5월8일'!I28+I27</f>
        <v/>
      </c>
      <c r="J28" s="21">
        <f>'5월8일'!J28+J27</f>
        <v/>
      </c>
      <c r="K28" s="69">
        <f>'5월8일'!K28+L26</f>
        <v/>
      </c>
      <c r="L28" s="69">
        <f>'5월8일'!L28+L26</f>
        <v/>
      </c>
      <c r="M28" s="64" t="n"/>
      <c r="N28" s="19" t="n"/>
      <c r="O28" s="24">
        <f>'5월8일'!O28+N26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2026-05-10(일)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CP반팔티2,김영주카라키</t>
        </is>
      </c>
      <c r="C6" s="63" t="n"/>
      <c r="D6" s="64" t="n"/>
      <c r="E6" s="83" t="n">
        <v>59000</v>
      </c>
      <c r="F6" s="84" t="n"/>
      <c r="G6" s="85">
        <f>E6+F6</f>
        <v/>
      </c>
      <c r="H6" s="45" t="inlineStr">
        <is>
          <t>몸빼,엘르티,JDX체크바지2,JDX티</t>
        </is>
      </c>
      <c r="I6" s="83" t="n">
        <v>120000</v>
      </c>
      <c r="J6" s="84" t="n">
        <v>100000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JDX가을자켓</t>
        </is>
      </c>
      <c r="C7" s="63" t="n"/>
      <c r="D7" s="64" t="n"/>
      <c r="E7" s="83" t="n">
        <v>69000</v>
      </c>
      <c r="F7" s="84" t="n"/>
      <c r="G7" s="85">
        <f>E7+F7</f>
        <v/>
      </c>
      <c r="H7" s="62" t="inlineStr">
        <is>
          <t>색바랜청바지2,남긴티2</t>
        </is>
      </c>
      <c r="I7" s="83" t="n">
        <v>40000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KDX카라티,청바지2,여이너웨어</t>
        </is>
      </c>
      <c r="C8" s="63" t="n"/>
      <c r="D8" s="64" t="n"/>
      <c r="E8" s="83" t="n"/>
      <c r="F8" s="84" t="n">
        <v>130000</v>
      </c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K28/10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'5월9일'!I28+I27</f>
        <v/>
      </c>
      <c r="J28" s="21">
        <f>'5월9일'!J28+J27</f>
        <v/>
      </c>
      <c r="K28" s="69">
        <f>'5월9일'!K28+L26</f>
        <v/>
      </c>
      <c r="L28" s="69">
        <f>'5월9일'!L28+L26</f>
        <v/>
      </c>
      <c r="M28" s="64" t="n"/>
      <c r="N28" s="19" t="n"/>
      <c r="O28" s="24">
        <f>'5월9일'!O28+N26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2026-05-11(월)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김영주카라티,모자,남바지</t>
        </is>
      </c>
      <c r="C6" s="63" t="n"/>
      <c r="D6" s="64" t="n"/>
      <c r="E6" s="83" t="n">
        <v>55000</v>
      </c>
      <c r="F6" s="84" t="n"/>
      <c r="G6" s="85">
        <f>E6+F6</f>
        <v/>
      </c>
      <c r="H6" s="45" t="inlineStr">
        <is>
          <t>남티3</t>
        </is>
      </c>
      <c r="I6" s="83" t="n"/>
      <c r="J6" s="84" t="n">
        <v>30000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츄리닝</t>
        </is>
      </c>
      <c r="C7" s="63" t="n"/>
      <c r="D7" s="64" t="n"/>
      <c r="E7" s="83" t="n">
        <v>15000</v>
      </c>
      <c r="F7" s="84" t="n"/>
      <c r="G7" s="85">
        <f>E7+F7</f>
        <v/>
      </c>
      <c r="H7" s="62" t="inlineStr">
        <is>
          <t>남티2,츄리닝</t>
        </is>
      </c>
      <c r="I7" s="83" t="n">
        <v>35000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K28/11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'5월10일'!I28+I27</f>
        <v/>
      </c>
      <c r="J28" s="21">
        <f>'5월10일'!J28+J27</f>
        <v/>
      </c>
      <c r="K28" s="69">
        <f>'5월10일'!K28+L26</f>
        <v/>
      </c>
      <c r="L28" s="69">
        <f>'5월10일'!L28+L26</f>
        <v/>
      </c>
      <c r="M28" s="64" t="n"/>
      <c r="N28" s="19" t="n"/>
      <c r="O28" s="24">
        <f>'5월10일'!O28+N26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2026-05-12(화)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건빵청바지</t>
        </is>
      </c>
      <c r="C6" s="63" t="n"/>
      <c r="D6" s="64" t="n"/>
      <c r="E6" s="83" t="n">
        <v>20000</v>
      </c>
      <c r="F6" s="84" t="n"/>
      <c r="G6" s="85">
        <f>E6+F6</f>
        <v/>
      </c>
      <c r="H6" s="45" t="inlineStr">
        <is>
          <t>엘르티,남티2,김영주조끼</t>
        </is>
      </c>
      <c r="I6" s="83" t="n"/>
      <c r="J6" s="84" t="n">
        <v>70000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벨트2</t>
        </is>
      </c>
      <c r="C7" s="63" t="n"/>
      <c r="D7" s="64" t="n"/>
      <c r="E7" s="83" t="n"/>
      <c r="F7" s="84" t="n">
        <v>10000</v>
      </c>
      <c r="G7" s="85">
        <f>E7+F7</f>
        <v/>
      </c>
      <c r="H7" s="62" t="inlineStr">
        <is>
          <t>츄리닝2</t>
        </is>
      </c>
      <c r="I7" s="83" t="n"/>
      <c r="J7" s="84" t="n">
        <v>30000</v>
      </c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남긴티.몸빼</t>
        </is>
      </c>
      <c r="C8" s="63" t="n"/>
      <c r="D8" s="64" t="n"/>
      <c r="E8" s="83" t="n">
        <v>15000</v>
      </c>
      <c r="F8" s="84" t="n"/>
      <c r="G8" s="85">
        <f>E8+F8</f>
        <v/>
      </c>
      <c r="H8" s="62" t="inlineStr">
        <is>
          <t>츄리닝,인디안티,김영주티</t>
        </is>
      </c>
      <c r="I8" s="83" t="n">
        <v>90000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K28/12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'5월11일'!I28+I27</f>
        <v/>
      </c>
      <c r="J28" s="21">
        <f>'5월11일'!J28+J27</f>
        <v/>
      </c>
      <c r="K28" s="69">
        <f>'5월11일'!K28+L26</f>
        <v/>
      </c>
      <c r="L28" s="69">
        <f>'5월11일'!L28+L26</f>
        <v/>
      </c>
      <c r="M28" s="64" t="n"/>
      <c r="N28" s="19" t="n"/>
      <c r="O28" s="24">
        <f>'5월11일'!O28+N26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2026-05-13(수)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조거건빵바지2,남티2,망사조끼
버팔로조끼</t>
        </is>
      </c>
      <c r="C6" s="63" t="n"/>
      <c r="D6" s="64" t="n"/>
      <c r="E6" s="83" t="n">
        <v>105000</v>
      </c>
      <c r="F6" s="84" t="n"/>
      <c r="G6" s="85">
        <f>E6+F6</f>
        <v/>
      </c>
      <c r="H6" s="45" t="inlineStr">
        <is>
          <t>인디안남방,청바지</t>
        </is>
      </c>
      <c r="I6" s="83" t="n">
        <v>55000</v>
      </c>
      <c r="J6" s="84" t="n">
        <v>20000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망사조끼2,남티2</t>
        </is>
      </c>
      <c r="C7" s="63" t="n"/>
      <c r="D7" s="64" t="n"/>
      <c r="E7" s="83" t="n">
        <v>40000</v>
      </c>
      <c r="F7" s="84" t="n"/>
      <c r="G7" s="85">
        <f>E7+F7</f>
        <v/>
      </c>
      <c r="H7" s="62" t="inlineStr">
        <is>
          <t>JDX여바람막이</t>
        </is>
      </c>
      <c r="I7" s="83" t="n"/>
      <c r="J7" s="84" t="n">
        <v>50000</v>
      </c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김영주브이조끼,김영주골프조끼</t>
        </is>
      </c>
      <c r="C8" s="63" t="n"/>
      <c r="D8" s="64" t="n"/>
      <c r="E8" s="83" t="n">
        <v>68000</v>
      </c>
      <c r="F8" s="84" t="n"/>
      <c r="G8" s="85">
        <f>E8+F8</f>
        <v/>
      </c>
      <c r="H8" s="62" t="inlineStr">
        <is>
          <t>김영주바지</t>
        </is>
      </c>
      <c r="I8" s="83" t="n">
        <v>39000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K28/13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'5월12일'!I28+I27</f>
        <v/>
      </c>
      <c r="J28" s="21">
        <f>'5월12일'!J28+J27</f>
        <v/>
      </c>
      <c r="K28" s="69">
        <f>'5월12일'!K28+L26</f>
        <v/>
      </c>
      <c r="L28" s="69">
        <f>'5월12일'!L28+L26</f>
        <v/>
      </c>
      <c r="M28" s="64" t="n"/>
      <c r="N28" s="19" t="n"/>
      <c r="O28" s="24">
        <f>'5월12일'!O28+N26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2026-05-14(목)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조거건빵바지,등상모자</t>
        </is>
      </c>
      <c r="C6" s="63" t="n"/>
      <c r="D6" s="64" t="n"/>
      <c r="E6" s="83" t="n">
        <v>30000</v>
      </c>
      <c r="F6" s="84" t="n"/>
      <c r="G6" s="85">
        <f>E6+F6</f>
        <v/>
      </c>
      <c r="H6" s="45" t="inlineStr">
        <is>
          <t>앙말</t>
        </is>
      </c>
      <c r="I6" s="83" t="n"/>
      <c r="J6" s="84" t="n">
        <v>18000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김영주긴티</t>
        </is>
      </c>
      <c r="C7" s="63" t="n"/>
      <c r="D7" s="64" t="n"/>
      <c r="E7" s="83" t="n">
        <v>35000</v>
      </c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K28/14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'5월13일'!I28+I27</f>
        <v/>
      </c>
      <c r="J28" s="21">
        <f>'5월13일'!J28+J27</f>
        <v/>
      </c>
      <c r="K28" s="69">
        <f>'5월13일'!K28+L26</f>
        <v/>
      </c>
      <c r="L28" s="69">
        <f>'5월13일'!L28+L26</f>
        <v/>
      </c>
      <c r="M28" s="64" t="n"/>
      <c r="N28" s="19" t="n"/>
      <c r="O28" s="24">
        <f>'5월13일'!O28+N26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2026-05-15(금)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몽피크 반바지</t>
        </is>
      </c>
      <c r="C6" s="63" t="n"/>
      <c r="D6" s="64" t="n"/>
      <c r="E6" s="83" t="n">
        <v>35000</v>
      </c>
      <c r="F6" s="84" t="n"/>
      <c r="G6" s="85">
        <f>E6+F6</f>
        <v/>
      </c>
      <c r="H6" s="45" t="inlineStr">
        <is>
          <t>팬티,나이키반팔2</t>
        </is>
      </c>
      <c r="I6" s="83" t="n">
        <v>60000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청바지,티,양말</t>
        </is>
      </c>
      <c r="C7" s="63" t="n"/>
      <c r="D7" s="64" t="n"/>
      <c r="E7" s="83" t="n"/>
      <c r="F7" s="84" t="n">
        <v>40000</v>
      </c>
      <c r="G7" s="85">
        <f>E7+F7</f>
        <v/>
      </c>
      <c r="H7" s="62" t="inlineStr">
        <is>
          <t>양말,여티2</t>
        </is>
      </c>
      <c r="I7" s="83" t="n">
        <v>45000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김영주티</t>
        </is>
      </c>
      <c r="C8" s="63" t="n"/>
      <c r="D8" s="64" t="n"/>
      <c r="E8" s="83" t="n">
        <v>29000</v>
      </c>
      <c r="F8" s="84" t="n"/>
      <c r="G8" s="85">
        <f>E8+F8</f>
        <v/>
      </c>
      <c r="H8" s="62" t="inlineStr">
        <is>
          <t>스피릿트 점퍼</t>
        </is>
      </c>
      <c r="I8" s="83" t="n">
        <v>39000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저 반팔2,기본바지1,김영주여티2남티2</t>
        </is>
      </c>
      <c r="C9" s="63" t="n"/>
      <c r="D9" s="64" t="n"/>
      <c r="E9" s="83" t="n">
        <v>120000</v>
      </c>
      <c r="F9" s="84" t="n"/>
      <c r="G9" s="85">
        <f>E9+F9</f>
        <v/>
      </c>
      <c r="H9" s="62" t="inlineStr">
        <is>
          <t>반바지,조끼,바지2,여티</t>
        </is>
      </c>
      <c r="I9" s="83" t="n"/>
      <c r="J9" s="84" t="n">
        <v>140000</v>
      </c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inlineStr">
        <is>
          <t>야크,김영주 자켓
5천3,바지2</t>
        </is>
      </c>
      <c r="C10" s="63" t="n"/>
      <c r="D10" s="64" t="n"/>
      <c r="E10" s="83" t="n">
        <v>178000</v>
      </c>
      <c r="F10" s="84" t="n"/>
      <c r="G10" s="85">
        <f>E10+F10</f>
        <v/>
      </c>
      <c r="H10" s="62" t="inlineStr">
        <is>
          <t>양말,카고흑색</t>
        </is>
      </c>
      <c r="I10" s="83" t="n">
        <v>20000</v>
      </c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K28/15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'5월14일'!I28+I27</f>
        <v/>
      </c>
      <c r="J28" s="21">
        <f>'5월14일'!J28+J27</f>
        <v/>
      </c>
      <c r="K28" s="69">
        <f>'5월14일'!K28+L26</f>
        <v/>
      </c>
      <c r="L28" s="69">
        <f>'5월14일'!L28+L26</f>
        <v/>
      </c>
      <c r="M28" s="64" t="n"/>
      <c r="N28" s="19" t="n"/>
      <c r="O28" s="24">
        <f>'5월14일'!O28+N26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2026-05-16(토)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청바지</t>
        </is>
      </c>
      <c r="C6" s="63" t="n"/>
      <c r="D6" s="64" t="n"/>
      <c r="E6" s="83" t="n">
        <v>20000</v>
      </c>
      <c r="F6" s="84" t="n"/>
      <c r="G6" s="85">
        <f>E6+F6</f>
        <v/>
      </c>
      <c r="H6" s="45" t="inlineStr">
        <is>
          <t>망사조끼2,토시5,청바지2</t>
        </is>
      </c>
      <c r="I6" s="83" t="n">
        <v>60000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조거건빵바지2,라운드반팔티3,망사
조끼2,토시3,워머2</t>
        </is>
      </c>
      <c r="C7" s="63" t="n"/>
      <c r="D7" s="64" t="n"/>
      <c r="E7" s="83" t="n">
        <v>105000</v>
      </c>
      <c r="F7" s="84" t="n"/>
      <c r="G7" s="85">
        <f>E7+F7</f>
        <v/>
      </c>
      <c r="H7" s="62" t="inlineStr">
        <is>
          <t>JDX카라티,김영주티</t>
        </is>
      </c>
      <c r="I7" s="83" t="n">
        <v>110000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김영주카라티2,빌트모아티,조끼</t>
        </is>
      </c>
      <c r="C8" s="63" t="n"/>
      <c r="D8" s="64" t="n"/>
      <c r="E8" s="83" t="n">
        <v>150000</v>
      </c>
      <c r="F8" s="84" t="n"/>
      <c r="G8" s="85">
        <f>E8+F8</f>
        <v/>
      </c>
      <c r="H8" s="62" t="inlineStr">
        <is>
          <t>김영주바지,JDX조끼,워머,마스크
모자,장갑,김영주여티,이원재여티,색바랜청바지,김영주여바지</t>
        </is>
      </c>
      <c r="I8" s="83" t="n"/>
      <c r="J8" s="84" t="n">
        <v>234000</v>
      </c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JDX여바지,골프여바지,김영주여티,조르지오여티,김영주조끼,워머,색바랜청바지</t>
        </is>
      </c>
      <c r="C9" s="63" t="n"/>
      <c r="D9" s="64" t="n"/>
      <c r="E9" s="83" t="n"/>
      <c r="F9" s="84" t="n">
        <v>230000</v>
      </c>
      <c r="G9" s="85">
        <f>E9+F9</f>
        <v/>
      </c>
      <c r="H9" s="62" t="inlineStr">
        <is>
          <t>망사조끼,남바지2,남티2</t>
        </is>
      </c>
      <c r="I9" s="83" t="n">
        <v>90000</v>
      </c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inlineStr">
        <is>
          <t>김영주바지,컬버바지,JDX티,데니
스티,김영주티2,토시3</t>
        </is>
      </c>
      <c r="C10" s="63" t="n"/>
      <c r="D10" s="64" t="n"/>
      <c r="E10" s="83" t="n"/>
      <c r="F10" s="84" t="n">
        <v>240000</v>
      </c>
      <c r="G10" s="85">
        <f>E10+F10</f>
        <v/>
      </c>
      <c r="H10" s="62" t="inlineStr">
        <is>
          <t>브이넥2</t>
        </is>
      </c>
      <c r="I10" s="83" t="n"/>
      <c r="J10" s="84" t="n">
        <v>40000</v>
      </c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inlineStr">
        <is>
          <t>김영주 브이조끼</t>
        </is>
      </c>
      <c r="C11" s="63" t="n"/>
      <c r="D11" s="64" t="n"/>
      <c r="E11" s="83" t="n">
        <v>29000</v>
      </c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K28/16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'5월15일'!I28+I27</f>
        <v/>
      </c>
      <c r="J28" s="21">
        <f>'5월15일'!J28+J27</f>
        <v/>
      </c>
      <c r="K28" s="69">
        <f>'5월15일'!K28+L26</f>
        <v/>
      </c>
      <c r="L28" s="69">
        <f>'5월15일'!L28+L26</f>
        <v/>
      </c>
      <c r="M28" s="64" t="n"/>
      <c r="N28" s="19" t="n"/>
      <c r="O28" s="24">
        <f>'5월15일'!O28+N26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2026-05-17(일)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건빵조거,망사조끼</t>
        </is>
      </c>
      <c r="C6" s="63" t="n"/>
      <c r="D6" s="64" t="n"/>
      <c r="E6" s="83" t="n">
        <v>20000</v>
      </c>
      <c r="F6" s="84" t="n"/>
      <c r="G6" s="85">
        <f>E6+F6</f>
        <v/>
      </c>
      <c r="H6" s="45" t="inlineStr">
        <is>
          <t>김영주 바람막이</t>
        </is>
      </c>
      <c r="I6" s="83" t="n"/>
      <c r="J6" s="84" t="n">
        <v>50000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김영주조끼,양말</t>
        </is>
      </c>
      <c r="C7" s="63" t="n"/>
      <c r="D7" s="64" t="n"/>
      <c r="E7" s="83" t="n">
        <v>49000</v>
      </c>
      <c r="F7" s="84" t="n"/>
      <c r="G7" s="85">
        <f>E7+F7</f>
        <v/>
      </c>
      <c r="H7" s="62" t="inlineStr">
        <is>
          <t>워머2,반바지</t>
        </is>
      </c>
      <c r="I7" s="83" t="n">
        <v>30000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가죽벨트,이너웨어</t>
        </is>
      </c>
      <c r="C8" s="63" t="n"/>
      <c r="D8" s="64" t="n"/>
      <c r="E8" s="83" t="n">
        <v>40000</v>
      </c>
      <c r="F8" s="84" t="n"/>
      <c r="G8" s="85">
        <f>E8+F8</f>
        <v/>
      </c>
      <c r="H8" s="62" t="inlineStr">
        <is>
          <t>색바랜바람막이</t>
        </is>
      </c>
      <c r="I8" s="83" t="n"/>
      <c r="J8" s="84" t="n">
        <v>10000</v>
      </c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츄리닝바지,이원재티,남티</t>
        </is>
      </c>
      <c r="C9" s="63" t="n"/>
      <c r="D9" s="64" t="n"/>
      <c r="E9" s="83" t="n">
        <v>60000</v>
      </c>
      <c r="F9" s="84" t="n"/>
      <c r="G9" s="85">
        <f>E9+F9</f>
        <v/>
      </c>
      <c r="H9" s="62" t="inlineStr">
        <is>
          <t>남바지2</t>
        </is>
      </c>
      <c r="I9" s="83" t="n">
        <v>30000</v>
      </c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inlineStr">
        <is>
          <t>김영주여티2,몽크로스남티,남바지
남티</t>
        </is>
      </c>
      <c r="C10" s="63" t="n"/>
      <c r="D10" s="64" t="n"/>
      <c r="E10" s="83" t="n">
        <v>120000</v>
      </c>
      <c r="F10" s="84" t="n">
        <v>10000</v>
      </c>
      <c r="G10" s="85">
        <f>E10+F10</f>
        <v/>
      </c>
      <c r="H10" s="62" t="inlineStr">
        <is>
          <t>여 이너웨어2</t>
        </is>
      </c>
      <c r="I10" s="83" t="n"/>
      <c r="J10" s="84" t="n">
        <v>35000</v>
      </c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inlineStr">
        <is>
          <t>반바지2,나이키라운드티</t>
        </is>
      </c>
      <c r="C11" s="63" t="n"/>
      <c r="D11" s="64" t="n"/>
      <c r="E11" s="83" t="n">
        <v>95000</v>
      </c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K28/17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'5월16일'!I28+I27</f>
        <v/>
      </c>
      <c r="J28" s="21">
        <f>'5월16일'!J28+J27</f>
        <v/>
      </c>
      <c r="K28" s="69">
        <f>'5월16일'!K28+L26</f>
        <v/>
      </c>
      <c r="L28" s="69">
        <f>'5월16일'!L28+L26</f>
        <v/>
      </c>
      <c r="M28" s="64" t="n"/>
      <c r="N28" s="19" t="n"/>
      <c r="O28" s="24">
        <f>'5월16일'!O28+N26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2026-05-18(월)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JDX카라티</t>
        </is>
      </c>
      <c r="C6" s="63" t="n"/>
      <c r="D6" s="64" t="n"/>
      <c r="E6" s="83" t="n">
        <v>55000</v>
      </c>
      <c r="F6" s="84" t="n"/>
      <c r="G6" s="85">
        <f>E6+F6</f>
        <v/>
      </c>
      <c r="H6" s="45" t="inlineStr">
        <is>
          <t>김영주브이넥조끼</t>
        </is>
      </c>
      <c r="I6" s="83" t="n"/>
      <c r="J6" s="84" t="n">
        <v>29000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김영주여조끼,김영주남티</t>
        </is>
      </c>
      <c r="C7" s="63" t="n"/>
      <c r="D7" s="64" t="n"/>
      <c r="E7" s="83" t="n"/>
      <c r="F7" s="84" t="n">
        <v>60000</v>
      </c>
      <c r="G7" s="85">
        <f>E7+F7</f>
        <v/>
      </c>
      <c r="H7" s="62" t="inlineStr">
        <is>
          <t>라운드티2,모자,몸빼</t>
        </is>
      </c>
      <c r="I7" s="83" t="n">
        <v>35000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김영주바지,가죽벨트(열린공간)</t>
        </is>
      </c>
      <c r="C8" s="63" t="n"/>
      <c r="D8" s="64" t="n"/>
      <c r="E8" s="83" t="n"/>
      <c r="F8" s="84" t="n">
        <v>50000</v>
      </c>
      <c r="G8" s="85">
        <f>E8+F8</f>
        <v/>
      </c>
      <c r="H8" s="62" t="inlineStr">
        <is>
          <t>JDX골프조끼,김영주조끼</t>
        </is>
      </c>
      <c r="I8" s="83" t="n">
        <v>80000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K28/18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'5월17일'!I28+I27</f>
        <v/>
      </c>
      <c r="J28" s="21">
        <f>'5월17일'!J28+J27</f>
        <v/>
      </c>
      <c r="K28" s="69">
        <f>'5월17일'!K28+L26</f>
        <v/>
      </c>
      <c r="L28" s="69">
        <f>'5월17일'!L28+L26</f>
        <v/>
      </c>
      <c r="M28" s="64" t="n"/>
      <c r="N28" s="19" t="n"/>
      <c r="O28" s="24">
        <f>'5월17일'!O28+N26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2026-05-19(화)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기본바지</t>
        </is>
      </c>
      <c r="C6" s="63" t="n"/>
      <c r="D6" s="64" t="n"/>
      <c r="E6" s="83" t="n"/>
      <c r="F6" s="84" t="n">
        <v>26000</v>
      </c>
      <c r="G6" s="85">
        <f>E6+F6</f>
        <v/>
      </c>
      <c r="H6" s="45" t="inlineStr">
        <is>
          <t>바지</t>
        </is>
      </c>
      <c r="I6" s="83" t="n">
        <v>10000</v>
      </c>
      <c r="J6" s="84" t="n">
        <v>5000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바지</t>
        </is>
      </c>
      <c r="C7" s="63" t="n"/>
      <c r="D7" s="64" t="n"/>
      <c r="E7" s="83" t="n">
        <v>15000</v>
      </c>
      <c r="F7" s="84" t="n"/>
      <c r="G7" s="85">
        <f>E7+F7</f>
        <v/>
      </c>
      <c r="H7" s="62" t="inlineStr">
        <is>
          <t>츄리닝2</t>
        </is>
      </c>
      <c r="I7" s="83" t="n">
        <v>28000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몸빼2,츄리닝</t>
        </is>
      </c>
      <c r="C8" s="63" t="n"/>
      <c r="D8" s="64" t="n"/>
      <c r="E8" s="83" t="n">
        <v>25000</v>
      </c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K28/19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'5월18일'!I28+I27</f>
        <v/>
      </c>
      <c r="J28" s="21">
        <f>'5월18일'!J28+J27</f>
        <v/>
      </c>
      <c r="K28" s="69">
        <f>'5월18일'!K28+L26</f>
        <v/>
      </c>
      <c r="L28" s="69">
        <f>'5월18일'!L28+L26</f>
        <v/>
      </c>
      <c r="M28" s="64" t="n"/>
      <c r="N28" s="19" t="n"/>
      <c r="O28" s="24">
        <f>'5월18일'!O28+N26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2026-05-20(수)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아이더티,야크티,디즈니바지</t>
        </is>
      </c>
      <c r="C6" s="63" t="n"/>
      <c r="D6" s="64" t="n"/>
      <c r="E6" s="83" t="n">
        <v>175000</v>
      </c>
      <c r="F6" s="84" t="n"/>
      <c r="G6" s="85">
        <f>E6+F6</f>
        <v/>
      </c>
      <c r="H6" s="45" t="inlineStr">
        <is>
          <t>여이너웨어3,이원재여티</t>
        </is>
      </c>
      <c r="I6" s="83" t="n">
        <v>80000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몸빼2</t>
        </is>
      </c>
      <c r="C7" s="63" t="n"/>
      <c r="D7" s="64" t="n"/>
      <c r="E7" s="83" t="n">
        <v>10000</v>
      </c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K28/20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'5월19일'!I28+I27</f>
        <v/>
      </c>
      <c r="J28" s="21">
        <f>'5월19일'!J28+J27</f>
        <v/>
      </c>
      <c r="K28" s="69">
        <f>'5월19일'!K28+L26</f>
        <v/>
      </c>
      <c r="L28" s="69">
        <f>'5월19일'!L28+L26</f>
        <v/>
      </c>
      <c r="M28" s="64" t="n"/>
      <c r="N28" s="19" t="n"/>
      <c r="O28" s="24">
        <f>'5월19일'!O28+N26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2026-05-21(목)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JDX카라티,인디안남방</t>
        </is>
      </c>
      <c r="C6" s="63" t="n"/>
      <c r="D6" s="64" t="n"/>
      <c r="E6" s="83" t="n">
        <v>100000</v>
      </c>
      <c r="F6" s="84" t="n"/>
      <c r="G6" s="85">
        <f>E6+F6</f>
        <v/>
      </c>
      <c r="H6" s="45" t="inlineStr">
        <is>
          <t>남반팔</t>
        </is>
      </c>
      <c r="I6" s="83" t="n"/>
      <c r="J6" s="84" t="n">
        <v>10000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조거건빵</t>
        </is>
      </c>
      <c r="C7" s="63" t="n"/>
      <c r="D7" s="64" t="n"/>
      <c r="E7" s="83" t="n">
        <v>18000</v>
      </c>
      <c r="F7" s="84" t="n"/>
      <c r="G7" s="85">
        <f>E7+F7</f>
        <v/>
      </c>
      <c r="H7" s="62" t="inlineStr">
        <is>
          <t>워머2</t>
        </is>
      </c>
      <c r="I7" s="83" t="n">
        <v>20000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데니스여티,아놀드여긴티</t>
        </is>
      </c>
      <c r="C8" s="63" t="n"/>
      <c r="D8" s="64" t="n"/>
      <c r="E8" s="83" t="n">
        <v>70000</v>
      </c>
      <c r="F8" s="84" t="n"/>
      <c r="G8" s="85">
        <f>E8+F8</f>
        <v/>
      </c>
      <c r="H8" s="62" t="inlineStr">
        <is>
          <t>김영주긴티,조르지오긴티,남티2
모자,JDX여바람막이</t>
        </is>
      </c>
      <c r="I8" s="83" t="n">
        <v>160000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트렁크팬티</t>
        </is>
      </c>
      <c r="C9" s="63" t="n"/>
      <c r="D9" s="64" t="n"/>
      <c r="E9" s="83" t="n"/>
      <c r="F9" s="84" t="n">
        <v>15000</v>
      </c>
      <c r="G9" s="85">
        <f>E9+F9</f>
        <v/>
      </c>
      <c r="H9" s="62" t="inlineStr">
        <is>
          <t>김영주긴티,남카라티</t>
        </is>
      </c>
      <c r="I9" s="83" t="n">
        <v>40000</v>
      </c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K28/21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'5월20일'!I28+I27</f>
        <v/>
      </c>
      <c r="J28" s="21">
        <f>'5월20일'!J28+J27</f>
        <v/>
      </c>
      <c r="K28" s="69">
        <f>'5월20일'!K28+L26</f>
        <v/>
      </c>
      <c r="L28" s="69">
        <f>'5월20일'!L28+L26</f>
        <v/>
      </c>
      <c r="M28" s="64" t="n"/>
      <c r="N28" s="19" t="n"/>
      <c r="O28" s="24">
        <f>'5월20일'!O28+N26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2026-05-22(금)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남티</t>
        </is>
      </c>
      <c r="C6" s="63" t="n"/>
      <c r="D6" s="64" t="n"/>
      <c r="E6" s="83" t="n"/>
      <c r="F6" s="84" t="n">
        <v>10000</v>
      </c>
      <c r="G6" s="85">
        <f>E6+F6</f>
        <v/>
      </c>
      <c r="H6" s="45" t="inlineStr">
        <is>
          <t>김영주남긴티3,몽크로스여티</t>
        </is>
      </c>
      <c r="I6" s="83" t="n">
        <v>110000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김영주바람막이,모자,슬레진져조끼
남반팔티2</t>
        </is>
      </c>
      <c r="C7" s="63" t="n"/>
      <c r="D7" s="64" t="n"/>
      <c r="E7" s="83" t="n">
        <v>110000</v>
      </c>
      <c r="F7" s="84" t="n"/>
      <c r="G7" s="85">
        <f>E7+F7</f>
        <v/>
      </c>
      <c r="H7" s="62" t="inlineStr">
        <is>
          <t>김영주여티</t>
        </is>
      </c>
      <c r="I7" s="83" t="n">
        <v>39000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청바지</t>
        </is>
      </c>
      <c r="C8" s="63" t="n"/>
      <c r="D8" s="64" t="n"/>
      <c r="E8" s="83" t="n">
        <v>20000</v>
      </c>
      <c r="F8" s="84" t="n"/>
      <c r="G8" s="85">
        <f>E8+F8</f>
        <v/>
      </c>
      <c r="H8" s="62" t="inlineStr">
        <is>
          <t>건빵조거바지</t>
        </is>
      </c>
      <c r="I8" s="83" t="n">
        <v>20000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망사조끼8,남티3</t>
        </is>
      </c>
      <c r="C9" s="63" t="n"/>
      <c r="D9" s="64" t="n"/>
      <c r="E9" s="83" t="n">
        <v>110000</v>
      </c>
      <c r="F9" s="84" t="n"/>
      <c r="G9" s="85">
        <f>E9+F9</f>
        <v/>
      </c>
      <c r="H9" s="62" t="inlineStr">
        <is>
          <t>브이넥2,이원재이너웨어2</t>
        </is>
      </c>
      <c r="I9" s="83" t="n">
        <v>80000</v>
      </c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K28/22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'5월21일'!I28+I27</f>
        <v/>
      </c>
      <c r="J28" s="21">
        <f>'5월21일'!J28+J27</f>
        <v/>
      </c>
      <c r="K28" s="69">
        <f>'5월21일'!K28+L26</f>
        <v/>
      </c>
      <c r="L28" s="69">
        <f>'5월21일'!L28+L26</f>
        <v/>
      </c>
      <c r="M28" s="64" t="n"/>
      <c r="N28" s="19" t="n"/>
      <c r="O28" s="24">
        <f>'5월21일'!O28+N26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2026-05-23(토)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라운드티</t>
        </is>
      </c>
      <c r="C6" s="63" t="n"/>
      <c r="D6" s="64" t="n"/>
      <c r="E6" s="83" t="n"/>
      <c r="F6" s="84" t="n">
        <v>10000</v>
      </c>
      <c r="G6" s="85">
        <f>E6+F6</f>
        <v/>
      </c>
      <c r="H6" s="45" t="inlineStr">
        <is>
          <t>남긴티2,몸빼,조끼</t>
        </is>
      </c>
      <c r="I6" s="83" t="n">
        <v>60000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양말,망사조끼,반바지</t>
        </is>
      </c>
      <c r="C7" s="63" t="n"/>
      <c r="D7" s="64" t="n"/>
      <c r="E7" s="83" t="n">
        <v>30000</v>
      </c>
      <c r="F7" s="84" t="n"/>
      <c r="G7" s="85">
        <f>E7+F7</f>
        <v/>
      </c>
      <c r="H7" s="62" t="inlineStr">
        <is>
          <t>네쇼널티,김영주카라티,남티2</t>
        </is>
      </c>
      <c r="I7" s="83" t="n">
        <v>80000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K28/23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'5월22일'!I28+I27</f>
        <v/>
      </c>
      <c r="J28" s="21">
        <f>'5월22일'!J28+J27</f>
        <v/>
      </c>
      <c r="K28" s="69">
        <f>'5월22일'!K28+L26</f>
        <v/>
      </c>
      <c r="L28" s="69">
        <f>'5월22일'!L28+L26</f>
        <v/>
      </c>
      <c r="M28" s="64" t="n"/>
      <c r="N28" s="19" t="n"/>
      <c r="O28" s="24">
        <f>'5월22일'!O28+N26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2026-05-24(일)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여 라운드티2</t>
        </is>
      </c>
      <c r="C6" s="63" t="n"/>
      <c r="D6" s="64" t="n"/>
      <c r="E6" s="83" t="n">
        <v>30000</v>
      </c>
      <c r="F6" s="84" t="n"/>
      <c r="G6" s="85">
        <f>E6+F6</f>
        <v/>
      </c>
      <c r="H6" s="45" t="inlineStr">
        <is>
          <t>츄리닝세트,7부반바지,JDX카라티
김영주여티2</t>
        </is>
      </c>
      <c r="I6" s="83" t="n">
        <v>195000</v>
      </c>
      <c r="J6" s="84" t="n">
        <v>60000</v>
      </c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청남방</t>
        </is>
      </c>
      <c r="C7" s="63" t="n"/>
      <c r="D7" s="64" t="n"/>
      <c r="E7" s="83" t="n">
        <v>20000</v>
      </c>
      <c r="F7" s="84" t="n"/>
      <c r="G7" s="85">
        <f>E7+F7</f>
        <v/>
      </c>
      <c r="H7" s="62" t="inlineStr">
        <is>
          <t>조거건빵고무줄바지,냉츄리닝2,색바랜청바지</t>
        </is>
      </c>
      <c r="I7" s="83" t="n">
        <v>60000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조르지오반팔티,네쇼널라운드티,조르지오긴티,JDX반팔/긴팔,김영주고무줄반바지</t>
        </is>
      </c>
      <c r="C8" s="63" t="n"/>
      <c r="D8" s="64" t="n"/>
      <c r="E8" s="83" t="n"/>
      <c r="F8" s="84" t="n">
        <v>250000</v>
      </c>
      <c r="G8" s="85">
        <f>E8+F8</f>
        <v/>
      </c>
      <c r="H8" s="62" t="inlineStr">
        <is>
          <t>김영주바람막이,모자</t>
        </is>
      </c>
      <c r="I8" s="83" t="n"/>
      <c r="J8" s="84" t="n">
        <v>65000</v>
      </c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가죽벨트,브이넥,라운드긴티2,남바
지2,바지</t>
        </is>
      </c>
      <c r="C9" s="63" t="n"/>
      <c r="D9" s="64" t="n"/>
      <c r="E9" s="83" t="n">
        <v>115000</v>
      </c>
      <c r="F9" s="84" t="n"/>
      <c r="G9" s="85">
        <f>E9+F9</f>
        <v/>
      </c>
      <c r="H9" s="62" t="inlineStr">
        <is>
          <t>클랙잭티.조르지오카라티</t>
        </is>
      </c>
      <c r="I9" s="83" t="n">
        <v>50000</v>
      </c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K28/24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'5월23일'!I28+I27</f>
        <v/>
      </c>
      <c r="J28" s="21">
        <f>'5월23일'!J28+J27</f>
        <v/>
      </c>
      <c r="K28" s="69">
        <f>'5월23일'!K28+L26</f>
        <v/>
      </c>
      <c r="L28" s="69">
        <f>'5월23일'!L28+L26</f>
        <v/>
      </c>
      <c r="M28" s="64" t="n"/>
      <c r="N28" s="19" t="n"/>
      <c r="O28" s="24">
        <f>'5월23일'!O28+N26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2026-05-25(월)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남티2,팬티,런닝2</t>
        </is>
      </c>
      <c r="C6" s="63" t="n"/>
      <c r="D6" s="64" t="n"/>
      <c r="E6" s="83" t="n"/>
      <c r="F6" s="84" t="n">
        <v>58000</v>
      </c>
      <c r="G6" s="85">
        <f>E6+F6</f>
        <v/>
      </c>
      <c r="H6" s="45" t="inlineStr">
        <is>
          <t>조르지오티,몽크로스티,청바지</t>
        </is>
      </c>
      <c r="I6" s="83" t="n">
        <v>90000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n"/>
      <c r="C7" s="63" t="n"/>
      <c r="D7" s="64" t="n"/>
      <c r="E7" s="83" t="n"/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K28/25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'5월24일'!I28+I27</f>
        <v/>
      </c>
      <c r="J28" s="21">
        <f>'5월24일'!J28+J27</f>
        <v/>
      </c>
      <c r="K28" s="69">
        <f>'5월24일'!K28+L26</f>
        <v/>
      </c>
      <c r="L28" s="69">
        <f>'5월24일'!L28+L26</f>
        <v/>
      </c>
      <c r="M28" s="64" t="n"/>
      <c r="N28" s="19" t="n"/>
      <c r="O28" s="24">
        <f>'5월24일'!O28+N26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2026-05-26(화)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색바랜청바지</t>
        </is>
      </c>
      <c r="C6" s="63" t="n"/>
      <c r="D6" s="64" t="n"/>
      <c r="E6" s="83" t="n">
        <v>10000</v>
      </c>
      <c r="F6" s="84" t="n"/>
      <c r="G6" s="85">
        <f>E6+F6</f>
        <v/>
      </c>
      <c r="H6" s="45" t="inlineStr">
        <is>
          <t>모자,워머2</t>
        </is>
      </c>
      <c r="I6" s="83" t="n">
        <v>30000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몽크로스긴티.반장갑2</t>
        </is>
      </c>
      <c r="C7" s="63" t="n"/>
      <c r="D7" s="64" t="n"/>
      <c r="E7" s="83" t="n">
        <v>50000</v>
      </c>
      <c r="F7" s="84" t="n"/>
      <c r="G7" s="85">
        <f>E7+F7</f>
        <v/>
      </c>
      <c r="H7" s="62" t="inlineStr">
        <is>
          <t>가죽벨트,벨트,양말5</t>
        </is>
      </c>
      <c r="I7" s="83" t="n">
        <v>32000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조끼</t>
        </is>
      </c>
      <c r="C8" s="63" t="n"/>
      <c r="D8" s="64" t="n"/>
      <c r="E8" s="83" t="n">
        <v>39000</v>
      </c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K28/26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'5월25일'!I28+I27</f>
        <v/>
      </c>
      <c r="J28" s="21">
        <f>'5월25일'!J28+J27</f>
        <v/>
      </c>
      <c r="K28" s="69">
        <f>'5월25일'!K28+L26</f>
        <v/>
      </c>
      <c r="L28" s="69">
        <f>'5월25일'!L28+L26</f>
        <v/>
      </c>
      <c r="M28" s="64" t="n"/>
      <c r="N28" s="19" t="n"/>
      <c r="O28" s="24">
        <f>'5월25일'!O28+N26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2026-05-27(수)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김영주여긴티,이원재여반팔티,조르지오여반팔티</t>
        </is>
      </c>
      <c r="C6" s="63" t="n"/>
      <c r="D6" s="64" t="n"/>
      <c r="E6" s="83" t="n">
        <v>100000</v>
      </c>
      <c r="F6" s="84" t="n">
        <v>15000</v>
      </c>
      <c r="G6" s="85">
        <f>E6+F6</f>
        <v/>
      </c>
      <c r="H6" s="45" t="inlineStr">
        <is>
          <t>벨트,바지</t>
        </is>
      </c>
      <c r="I6" s="83" t="n">
        <v>25000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라운드티2</t>
        </is>
      </c>
      <c r="C7" s="63" t="n"/>
      <c r="D7" s="64" t="n"/>
      <c r="E7" s="83" t="n"/>
      <c r="F7" s="84" t="n">
        <v>20000</v>
      </c>
      <c r="G7" s="85">
        <f>E7+F7</f>
        <v/>
      </c>
      <c r="H7" s="62" t="inlineStr">
        <is>
          <t>반팔티2</t>
        </is>
      </c>
      <c r="I7" s="83" t="n">
        <v>20000</v>
      </c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라운드티,색바랜바람막이</t>
        </is>
      </c>
      <c r="C8" s="63" t="n"/>
      <c r="D8" s="64" t="n"/>
      <c r="E8" s="83" t="n">
        <v>20000</v>
      </c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K28/27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'5월26일'!I28+I27</f>
        <v/>
      </c>
      <c r="J28" s="21">
        <f>'5월26일'!J28+J27</f>
        <v/>
      </c>
      <c r="K28" s="69">
        <f>'5월26일'!K28+L26</f>
        <v/>
      </c>
      <c r="L28" s="69">
        <f>'5월26일'!L28+L26</f>
        <v/>
      </c>
      <c r="M28" s="64" t="n"/>
      <c r="N28" s="19" t="n"/>
      <c r="O28" s="24">
        <f>'5월26일'!O28+N26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2026-05-28(목)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반바지,쟌티2,에코카라티</t>
        </is>
      </c>
      <c r="C6" s="63" t="n"/>
      <c r="D6" s="64" t="n"/>
      <c r="E6" s="83" t="n">
        <v>100000</v>
      </c>
      <c r="F6" s="84" t="n"/>
      <c r="G6" s="85">
        <f>E6+F6</f>
        <v/>
      </c>
      <c r="H6" s="45" t="inlineStr">
        <is>
          <t>여라운드티2,여통바지2,김영주여티</t>
        </is>
      </c>
      <c r="I6" s="83" t="n">
        <v>110000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여이너웨어</t>
        </is>
      </c>
      <c r="C7" s="63" t="n"/>
      <c r="D7" s="64" t="n"/>
      <c r="E7" s="83" t="n">
        <v>20000</v>
      </c>
      <c r="F7" s="84" t="n"/>
      <c r="G7" s="85">
        <f>E7+F7</f>
        <v/>
      </c>
      <c r="H7" s="62" t="inlineStr">
        <is>
          <t>망사조끼,몸빼,냉장고바지</t>
        </is>
      </c>
      <c r="I7" s="83" t="n"/>
      <c r="J7" s="84" t="n">
        <v>33000</v>
      </c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이원재 이너웨어</t>
        </is>
      </c>
      <c r="C8" s="63" t="n"/>
      <c r="D8" s="64" t="n"/>
      <c r="E8" s="83" t="n"/>
      <c r="F8" s="84" t="n">
        <v>20000</v>
      </c>
      <c r="G8" s="85">
        <f>E8+F8</f>
        <v/>
      </c>
      <c r="H8" s="62" t="inlineStr">
        <is>
          <t>남카고바지2,라운드티2</t>
        </is>
      </c>
      <c r="I8" s="83" t="n">
        <v>66000</v>
      </c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남바지2</t>
        </is>
      </c>
      <c r="C9" s="63" t="n"/>
      <c r="D9" s="64" t="n"/>
      <c r="E9" s="83" t="n">
        <v>30000</v>
      </c>
      <c r="F9" s="84" t="n"/>
      <c r="G9" s="85">
        <f>E9+F9</f>
        <v/>
      </c>
      <c r="H9" s="62" t="inlineStr">
        <is>
          <t>남팬티,야크티,남티</t>
        </is>
      </c>
      <c r="I9" s="83" t="n">
        <v>90000</v>
      </c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inlineStr">
        <is>
          <t>거미반바지,여브이넥,여바지,벨트2</t>
        </is>
      </c>
      <c r="C10" s="63" t="n"/>
      <c r="D10" s="64" t="n"/>
      <c r="E10" s="83" t="n">
        <v>75000</v>
      </c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K28/28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'5월27일'!I28+I27</f>
        <v/>
      </c>
      <c r="J28" s="21">
        <f>'5월27일'!J28+J27</f>
        <v/>
      </c>
      <c r="K28" s="69">
        <f>'5월27일'!K28+L26</f>
        <v/>
      </c>
      <c r="L28" s="69">
        <f>'5월27일'!L28+L26</f>
        <v/>
      </c>
      <c r="M28" s="64" t="n"/>
      <c r="N28" s="19" t="n"/>
      <c r="O28" s="24">
        <f>'5월27일'!O28+N26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:O3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2026-05-29(금)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에코조거건빵바지,라운드긴티2</t>
        </is>
      </c>
      <c r="C6" s="63" t="n"/>
      <c r="D6" s="64" t="n"/>
      <c r="E6" s="83" t="n">
        <v>60000</v>
      </c>
      <c r="F6" s="84" t="n"/>
      <c r="G6" s="85">
        <f>E6+F6</f>
        <v/>
      </c>
      <c r="H6" s="45" t="inlineStr">
        <is>
          <t>김영주바지</t>
        </is>
      </c>
      <c r="I6" s="83" t="n">
        <v>39000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n"/>
      <c r="C7" s="63" t="n"/>
      <c r="D7" s="64" t="n"/>
      <c r="E7" s="83" t="n"/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K28/29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'5월28일'!I28+I27</f>
        <v/>
      </c>
      <c r="J28" s="21">
        <f>'5월28일'!J28+J27</f>
        <v/>
      </c>
      <c r="K28" s="69">
        <f>'5월28일'!K28+L26</f>
        <v/>
      </c>
      <c r="L28" s="69">
        <f>'5월28일'!L28+L26</f>
        <v/>
      </c>
      <c r="M28" s="64" t="n"/>
      <c r="N28" s="19" t="n"/>
      <c r="O28" s="24">
        <f>'5월28일'!O28+N26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F7" sqref="F7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2026-05-30(토)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반팔2,긴팔2,조거바지</t>
        </is>
      </c>
      <c r="C6" s="63" t="n"/>
      <c r="D6" s="64" t="n"/>
      <c r="E6" s="83" t="n">
        <v>65000</v>
      </c>
      <c r="F6" s="84" t="n"/>
      <c r="G6" s="85">
        <f>E6+F6</f>
        <v/>
      </c>
      <c r="H6" s="45" t="inlineStr">
        <is>
          <t>벨트2,에버뉴 반바지</t>
        </is>
      </c>
      <c r="I6" s="83" t="n">
        <v>54000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v넥 반팔</t>
        </is>
      </c>
      <c r="C7" s="63" t="n"/>
      <c r="D7" s="64" t="n"/>
      <c r="E7" s="83" t="n">
        <v>20000</v>
      </c>
      <c r="F7" s="84" t="n"/>
      <c r="G7" s="85">
        <f>E7+F7</f>
        <v/>
      </c>
      <c r="H7" s="62" t="n"/>
      <c r="I7" s="83" t="n"/>
      <c r="J7" s="84" t="n"/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n"/>
      <c r="C8" s="63" t="n"/>
      <c r="D8" s="64" t="n"/>
      <c r="E8" s="83" t="n"/>
      <c r="F8" s="84" t="n"/>
      <c r="G8" s="85">
        <f>E8+F8</f>
        <v/>
      </c>
      <c r="H8" s="62" t="n"/>
      <c r="I8" s="83" t="n"/>
      <c r="J8" s="84" t="n"/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n"/>
      <c r="C9" s="63" t="n"/>
      <c r="D9" s="64" t="n"/>
      <c r="E9" s="83" t="n"/>
      <c r="F9" s="84" t="n"/>
      <c r="G9" s="85">
        <f>E9+F9</f>
        <v/>
      </c>
      <c r="H9" s="62" t="n"/>
      <c r="I9" s="83" t="n"/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n"/>
      <c r="C10" s="63" t="n"/>
      <c r="D10" s="64" t="n"/>
      <c r="E10" s="83" t="n"/>
      <c r="F10" s="84" t="n"/>
      <c r="G10" s="85">
        <f>E10+F10</f>
        <v/>
      </c>
      <c r="H10" s="62" t="n"/>
      <c r="I10" s="83" t="n"/>
      <c r="J10" s="84" t="n"/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n"/>
      <c r="C11" s="63" t="n"/>
      <c r="D11" s="64" t="n"/>
      <c r="E11" s="83" t="n"/>
      <c r="F11" s="84" t="n"/>
      <c r="G11" s="85">
        <f>E11+F11</f>
        <v/>
      </c>
      <c r="H11" s="62" t="n"/>
      <c r="I11" s="83" t="n"/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n"/>
      <c r="C12" s="63" t="n"/>
      <c r="D12" s="64" t="n"/>
      <c r="E12" s="83" t="n"/>
      <c r="F12" s="84" t="n"/>
      <c r="G12" s="85">
        <f>E12+F12</f>
        <v/>
      </c>
      <c r="H12" s="62" t="n"/>
      <c r="I12" s="83" t="n"/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n"/>
      <c r="C13" s="63" t="n"/>
      <c r="D13" s="64" t="n"/>
      <c r="E13" s="83" t="n"/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K28/30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'5월29일'!I28+I27</f>
        <v/>
      </c>
      <c r="J28" s="21">
        <f>'5월29일'!J28+J27</f>
        <v/>
      </c>
      <c r="K28" s="69">
        <f>'5월29일'!K28+L26</f>
        <v/>
      </c>
      <c r="L28" s="69">
        <f>'5월29일'!L28+L26</f>
        <v/>
      </c>
      <c r="M28" s="64" t="n"/>
      <c r="N28" s="19" t="n"/>
      <c r="O28" s="24">
        <f>'5월29일'!O28+N26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H37" sqref="H37"/>
    </sheetView>
  </sheetViews>
  <sheetFormatPr baseColWidth="8" defaultRowHeight="17"/>
  <cols>
    <col width="4" customWidth="1" style="59" min="1" max="1"/>
    <col width="8" customWidth="1" style="59" min="2" max="3"/>
    <col width="10.1640625" customWidth="1" style="59" min="4" max="4"/>
    <col width="12" customWidth="1" style="59" min="5" max="7"/>
    <col width="23.5" customWidth="1" style="59" min="8" max="8"/>
    <col width="12" customWidth="1" style="59" min="9" max="11"/>
    <col width="14" customWidth="1" style="59" min="12" max="12"/>
    <col width="4" customWidth="1" style="59" min="13" max="13"/>
    <col width="8" customWidth="1" style="59" min="14" max="15"/>
  </cols>
  <sheetData>
    <row r="1" ht="15" customHeight="1" s="59">
      <c r="A1" s="60" t="inlineStr">
        <is>
          <t>(05월)  일    일     매     출     일     지</t>
        </is>
      </c>
    </row>
    <row r="2" ht="15" customHeight="1" s="59"/>
    <row r="3" ht="15" customHeight="1" s="59"/>
    <row r="4" ht="20" customHeight="1" s="59">
      <c r="K4" s="82" t="inlineStr">
        <is>
          <t>2026-05-31(일)</t>
        </is>
      </c>
    </row>
    <row r="5" ht="25" customHeight="1" s="59">
      <c r="A5" s="37" t="inlineStr">
        <is>
          <t>No</t>
        </is>
      </c>
      <c r="B5" s="66" t="inlineStr">
        <is>
          <t>품          명</t>
        </is>
      </c>
      <c r="C5" s="68" t="n"/>
      <c r="D5" s="67" t="n"/>
      <c r="E5" s="39" t="inlineStr">
        <is>
          <t>카  드</t>
        </is>
      </c>
      <c r="F5" s="40" t="inlineStr">
        <is>
          <t>현  금</t>
        </is>
      </c>
      <c r="G5" s="66" t="inlineStr">
        <is>
          <t>합  계</t>
        </is>
      </c>
      <c r="H5" s="66" t="inlineStr">
        <is>
          <t>품   명</t>
        </is>
      </c>
      <c r="I5" s="39" t="inlineStr">
        <is>
          <t>카  드</t>
        </is>
      </c>
      <c r="J5" s="40" t="inlineStr">
        <is>
          <t>현  금</t>
        </is>
      </c>
      <c r="K5" s="66" t="inlineStr">
        <is>
          <t>합  계</t>
        </is>
      </c>
      <c r="L5" s="66" t="inlineStr">
        <is>
          <t>일 합 계</t>
        </is>
      </c>
      <c r="M5" s="66" t="n"/>
      <c r="N5" s="66" t="inlineStr">
        <is>
          <t>마  진</t>
        </is>
      </c>
      <c r="O5" s="67" t="n"/>
    </row>
    <row r="6" ht="28" customHeight="1" s="59">
      <c r="A6" s="36" t="n">
        <v>1</v>
      </c>
      <c r="B6" s="62" t="inlineStr">
        <is>
          <t>베낭,라운드티2,이원재조거바지
드로즈팬티2,모자2</t>
        </is>
      </c>
      <c r="C6" s="63" t="n"/>
      <c r="D6" s="64" t="n"/>
      <c r="E6" s="83" t="n">
        <v>109000</v>
      </c>
      <c r="F6" s="84" t="n"/>
      <c r="G6" s="85">
        <f>E6+F6</f>
        <v/>
      </c>
      <c r="H6" s="45" t="inlineStr">
        <is>
          <t>남청바지</t>
        </is>
      </c>
      <c r="I6" s="83" t="n">
        <v>20000</v>
      </c>
      <c r="J6" s="84" t="n"/>
      <c r="K6" s="85">
        <f>I6+J6</f>
        <v/>
      </c>
      <c r="L6" s="46" t="n"/>
      <c r="M6" s="62" t="n"/>
      <c r="N6" s="85" t="n"/>
      <c r="O6" s="64" t="n"/>
    </row>
    <row r="7" ht="20" customHeight="1" s="59">
      <c r="A7" s="36" t="n">
        <v>2</v>
      </c>
      <c r="B7" s="62" t="inlineStr">
        <is>
          <t>남바지2</t>
        </is>
      </c>
      <c r="C7" s="63" t="n"/>
      <c r="D7" s="64" t="n"/>
      <c r="E7" s="83" t="n">
        <v>30000</v>
      </c>
      <c r="F7" s="84" t="n"/>
      <c r="G7" s="85">
        <f>E7+F7</f>
        <v/>
      </c>
      <c r="H7" s="62" t="inlineStr">
        <is>
          <t>남바지2</t>
        </is>
      </c>
      <c r="I7" s="83" t="n"/>
      <c r="J7" s="84" t="n">
        <v>30000</v>
      </c>
      <c r="K7" s="85">
        <f>I7+J7</f>
        <v/>
      </c>
      <c r="L7" s="46" t="n"/>
      <c r="M7" s="62" t="n"/>
      <c r="N7" s="85" t="n"/>
      <c r="O7" s="64" t="n"/>
    </row>
    <row r="8" ht="20" customHeight="1" s="59">
      <c r="A8" s="36" t="n">
        <v>3</v>
      </c>
      <c r="B8" s="62" t="inlineStr">
        <is>
          <t>토시2</t>
        </is>
      </c>
      <c r="C8" s="63" t="n"/>
      <c r="D8" s="64" t="n"/>
      <c r="E8" s="83" t="n"/>
      <c r="F8" s="84" t="n">
        <v>10000</v>
      </c>
      <c r="G8" s="85">
        <f>E8+F8</f>
        <v/>
      </c>
      <c r="H8" s="62" t="inlineStr">
        <is>
          <t>모자</t>
        </is>
      </c>
      <c r="I8" s="83" t="n"/>
      <c r="J8" s="84" t="n">
        <v>10000</v>
      </c>
      <c r="K8" s="85">
        <f>I8+J8</f>
        <v/>
      </c>
      <c r="L8" s="46" t="n"/>
      <c r="M8" s="62" t="n"/>
      <c r="N8" s="85" t="n"/>
      <c r="O8" s="64" t="n"/>
    </row>
    <row r="9" ht="20" customHeight="1" s="59">
      <c r="A9" s="36" t="n">
        <v>4</v>
      </c>
      <c r="B9" s="62" t="inlineStr">
        <is>
          <t>남방</t>
        </is>
      </c>
      <c r="C9" s="63" t="n"/>
      <c r="D9" s="64" t="n"/>
      <c r="E9" s="83" t="n"/>
      <c r="F9" s="84" t="n">
        <v>5000</v>
      </c>
      <c r="G9" s="85">
        <f>E9+F9</f>
        <v/>
      </c>
      <c r="H9" s="62" t="inlineStr">
        <is>
          <t>조르지오티,김영주카라티,쟌바지</t>
        </is>
      </c>
      <c r="I9" s="83" t="n">
        <v>100000</v>
      </c>
      <c r="J9" s="84" t="n"/>
      <c r="K9" s="85">
        <f>I9+J9</f>
        <v/>
      </c>
      <c r="L9" s="46" t="n"/>
      <c r="M9" s="62" t="n"/>
      <c r="N9" s="85" t="n"/>
      <c r="O9" s="64" t="n"/>
    </row>
    <row r="10" ht="20" customHeight="1" s="59">
      <c r="A10" s="36" t="n">
        <v>5</v>
      </c>
      <c r="B10" s="62" t="inlineStr">
        <is>
          <t>교환차액(JDX/김영주티,바지)</t>
        </is>
      </c>
      <c r="C10" s="63" t="n"/>
      <c r="D10" s="64" t="n"/>
      <c r="E10" s="83" t="n">
        <v>5000</v>
      </c>
      <c r="F10" s="84" t="n"/>
      <c r="G10" s="85">
        <f>E10+F10</f>
        <v/>
      </c>
      <c r="H10" s="62" t="inlineStr">
        <is>
          <t>김영주카라긴티</t>
        </is>
      </c>
      <c r="I10" s="83" t="n"/>
      <c r="J10" s="84" t="n">
        <v>25000</v>
      </c>
      <c r="K10" s="85">
        <f>I10+J10</f>
        <v/>
      </c>
      <c r="L10" s="46" t="n"/>
      <c r="M10" s="62" t="n"/>
      <c r="N10" s="85" t="n"/>
      <c r="O10" s="64" t="n"/>
    </row>
    <row r="11" ht="20" customHeight="1" s="59">
      <c r="A11" s="36" t="n">
        <v>6</v>
      </c>
      <c r="B11" s="62" t="inlineStr">
        <is>
          <t>청바지</t>
        </is>
      </c>
      <c r="C11" s="63" t="n"/>
      <c r="D11" s="64" t="n"/>
      <c r="E11" s="83" t="n">
        <v>20000</v>
      </c>
      <c r="F11" s="84" t="n"/>
      <c r="G11" s="85">
        <f>E11+F11</f>
        <v/>
      </c>
      <c r="H11" s="62" t="inlineStr">
        <is>
          <t>김영주조끼,반팔</t>
        </is>
      </c>
      <c r="I11" s="83" t="n">
        <v>75000</v>
      </c>
      <c r="J11" s="84" t="n"/>
      <c r="K11" s="85">
        <f>I11+J11</f>
        <v/>
      </c>
      <c r="L11" s="46" t="n"/>
      <c r="M11" s="62" t="n"/>
      <c r="N11" s="85" t="n"/>
      <c r="O11" s="64" t="n"/>
    </row>
    <row r="12" ht="20" customHeight="1" s="59">
      <c r="A12" s="36" t="n">
        <v>7</v>
      </c>
      <c r="B12" s="62" t="inlineStr">
        <is>
          <t>김영주바람막이,조르지오티</t>
        </is>
      </c>
      <c r="C12" s="63" t="n"/>
      <c r="D12" s="64" t="n"/>
      <c r="E12" s="83" t="n">
        <v>80000</v>
      </c>
      <c r="F12" s="84" t="n"/>
      <c r="G12" s="85">
        <f>E12+F12</f>
        <v/>
      </c>
      <c r="H12" s="62" t="inlineStr">
        <is>
          <t>냉감티2</t>
        </is>
      </c>
      <c r="I12" s="83" t="n">
        <v>40000</v>
      </c>
      <c r="J12" s="84" t="n"/>
      <c r="K12" s="85">
        <f>I12+J12</f>
        <v/>
      </c>
      <c r="L12" s="46" t="n"/>
      <c r="M12" s="62" t="n"/>
      <c r="N12" s="85" t="n"/>
      <c r="O12" s="64" t="n"/>
    </row>
    <row r="13" ht="20" customHeight="1" s="59">
      <c r="A13" s="36" t="n">
        <v>8</v>
      </c>
      <c r="B13" s="62" t="inlineStr">
        <is>
          <t>이원재조거,라운드긴티</t>
        </is>
      </c>
      <c r="C13" s="63" t="n"/>
      <c r="D13" s="64" t="n"/>
      <c r="E13" s="83" t="n">
        <v>25000</v>
      </c>
      <c r="F13" s="84" t="n"/>
      <c r="G13" s="85">
        <f>E13+F13</f>
        <v/>
      </c>
      <c r="H13" s="62" t="n"/>
      <c r="I13" s="83" t="n"/>
      <c r="J13" s="84" t="n"/>
      <c r="K13" s="85">
        <f>I13+J13</f>
        <v/>
      </c>
      <c r="L13" s="46" t="n"/>
      <c r="M13" s="62" t="n"/>
      <c r="N13" s="85" t="n"/>
      <c r="O13" s="64" t="n"/>
    </row>
    <row r="14" ht="20" customHeight="1" s="59">
      <c r="A14" s="36" t="n">
        <v>9</v>
      </c>
      <c r="B14" s="62" t="n"/>
      <c r="C14" s="63" t="n"/>
      <c r="D14" s="64" t="n"/>
      <c r="E14" s="83" t="n"/>
      <c r="F14" s="84" t="n"/>
      <c r="G14" s="85">
        <f>E14+F14</f>
        <v/>
      </c>
      <c r="H14" s="62" t="n"/>
      <c r="I14" s="83" t="n"/>
      <c r="J14" s="84" t="n"/>
      <c r="K14" s="85">
        <f>I14+J14</f>
        <v/>
      </c>
      <c r="L14" s="46" t="n"/>
      <c r="M14" s="62" t="n"/>
      <c r="N14" s="85" t="n"/>
      <c r="O14" s="64" t="n"/>
    </row>
    <row r="15" ht="20" customHeight="1" s="59">
      <c r="A15" s="36" t="n">
        <v>10</v>
      </c>
      <c r="B15" s="62" t="n"/>
      <c r="C15" s="63" t="n"/>
      <c r="D15" s="64" t="n"/>
      <c r="E15" s="83" t="n"/>
      <c r="F15" s="84" t="n"/>
      <c r="G15" s="85">
        <f>E15+F15</f>
        <v/>
      </c>
      <c r="H15" s="62" t="n"/>
      <c r="I15" s="83" t="n"/>
      <c r="J15" s="84" t="n"/>
      <c r="K15" s="85">
        <f>I15+J15</f>
        <v/>
      </c>
      <c r="L15" s="46" t="n"/>
      <c r="M15" s="62" t="n"/>
      <c r="N15" s="85" t="n"/>
      <c r="O15" s="64" t="n"/>
    </row>
    <row r="16" ht="20" customHeight="1" s="59">
      <c r="A16" s="36" t="n">
        <v>11</v>
      </c>
      <c r="B16" s="62" t="n"/>
      <c r="C16" s="63" t="n"/>
      <c r="D16" s="64" t="n"/>
      <c r="E16" s="83" t="n"/>
      <c r="F16" s="84" t="n"/>
      <c r="G16" s="85">
        <f>E16+F16</f>
        <v/>
      </c>
      <c r="H16" s="62" t="n"/>
      <c r="I16" s="83" t="n"/>
      <c r="J16" s="84" t="n"/>
      <c r="K16" s="85">
        <f>I16+J16</f>
        <v/>
      </c>
      <c r="L16" s="46" t="n"/>
      <c r="M16" s="62" t="n"/>
      <c r="N16" s="85" t="n"/>
      <c r="O16" s="64" t="n"/>
    </row>
    <row r="17" ht="20" customHeight="1" s="59">
      <c r="A17" s="36" t="n">
        <v>12</v>
      </c>
      <c r="B17" s="62" t="n"/>
      <c r="C17" s="63" t="n"/>
      <c r="D17" s="64" t="n"/>
      <c r="E17" s="83" t="n"/>
      <c r="F17" s="84" t="n"/>
      <c r="G17" s="85">
        <f>E17+F17</f>
        <v/>
      </c>
      <c r="H17" s="62" t="n"/>
      <c r="I17" s="83" t="n"/>
      <c r="J17" s="84" t="n"/>
      <c r="K17" s="85">
        <f>I17+J17</f>
        <v/>
      </c>
      <c r="L17" s="46" t="n"/>
      <c r="M17" s="62" t="n"/>
      <c r="N17" s="85" t="n"/>
      <c r="O17" s="64" t="n"/>
    </row>
    <row r="18" ht="20" customHeight="1" s="59">
      <c r="A18" s="36" t="n">
        <v>13</v>
      </c>
      <c r="B18" s="62" t="n"/>
      <c r="C18" s="63" t="n"/>
      <c r="D18" s="64" t="n"/>
      <c r="E18" s="83" t="n"/>
      <c r="F18" s="84" t="n"/>
      <c r="G18" s="85">
        <f>E18+F18</f>
        <v/>
      </c>
      <c r="H18" s="62" t="n"/>
      <c r="I18" s="83" t="n"/>
      <c r="J18" s="84" t="n"/>
      <c r="K18" s="85">
        <f>I18+J18</f>
        <v/>
      </c>
      <c r="L18" s="46" t="n"/>
      <c r="M18" s="62" t="n"/>
      <c r="N18" s="85" t="n"/>
      <c r="O18" s="64" t="n"/>
    </row>
    <row r="19" ht="20" customHeight="1" s="59">
      <c r="A19" s="36" t="n">
        <v>14</v>
      </c>
      <c r="B19" s="62" t="n"/>
      <c r="C19" s="63" t="n"/>
      <c r="D19" s="64" t="n"/>
      <c r="E19" s="83" t="n"/>
      <c r="F19" s="84" t="n"/>
      <c r="G19" s="85">
        <f>E19+F19</f>
        <v/>
      </c>
      <c r="H19" s="62" t="n"/>
      <c r="I19" s="83" t="n"/>
      <c r="J19" s="84" t="n"/>
      <c r="K19" s="85">
        <f>I19+J19</f>
        <v/>
      </c>
      <c r="L19" s="46" t="n"/>
      <c r="M19" s="62" t="n"/>
      <c r="N19" s="85" t="n"/>
      <c r="O19" s="64" t="n"/>
    </row>
    <row r="20" ht="20" customHeight="1" s="59">
      <c r="A20" s="36" t="n">
        <v>15</v>
      </c>
      <c r="B20" s="62" t="n"/>
      <c r="C20" s="63" t="n"/>
      <c r="D20" s="64" t="n"/>
      <c r="E20" s="83" t="n"/>
      <c r="F20" s="84" t="n"/>
      <c r="G20" s="85">
        <f>E20+F20</f>
        <v/>
      </c>
      <c r="H20" s="62" t="n"/>
      <c r="I20" s="83" t="n"/>
      <c r="J20" s="84" t="n"/>
      <c r="K20" s="85">
        <f>I20+J20</f>
        <v/>
      </c>
      <c r="L20" s="46" t="n"/>
      <c r="M20" s="62" t="n"/>
      <c r="N20" s="85" t="n"/>
      <c r="O20" s="64" t="n"/>
    </row>
    <row r="21" ht="20" customHeight="1" s="59">
      <c r="A21" s="36" t="n">
        <v>16</v>
      </c>
      <c r="B21" s="62" t="n"/>
      <c r="C21" s="63" t="n"/>
      <c r="D21" s="64" t="n"/>
      <c r="E21" s="83" t="n"/>
      <c r="F21" s="84" t="n"/>
      <c r="G21" s="85">
        <f>E21+F21</f>
        <v/>
      </c>
      <c r="H21" s="62" t="n"/>
      <c r="I21" s="83" t="n"/>
      <c r="J21" s="84" t="n"/>
      <c r="K21" s="85">
        <f>I21+J21</f>
        <v/>
      </c>
      <c r="L21" s="46" t="n"/>
      <c r="M21" s="62" t="n"/>
      <c r="N21" s="85" t="n"/>
      <c r="O21" s="64" t="n"/>
    </row>
    <row r="22" ht="20" customHeight="1" s="59">
      <c r="A22" s="36" t="n">
        <v>17</v>
      </c>
      <c r="B22" s="62" t="n"/>
      <c r="C22" s="63" t="n"/>
      <c r="D22" s="64" t="n"/>
      <c r="E22" s="83" t="n"/>
      <c r="F22" s="84" t="n"/>
      <c r="G22" s="85">
        <f>E22+F22</f>
        <v/>
      </c>
      <c r="H22" s="62" t="n"/>
      <c r="I22" s="83" t="n"/>
      <c r="J22" s="84" t="n"/>
      <c r="K22" s="85">
        <f>I22+J22</f>
        <v/>
      </c>
      <c r="L22" s="46" t="n"/>
      <c r="M22" s="62" t="n"/>
      <c r="N22" s="85" t="n"/>
      <c r="O22" s="64" t="n"/>
    </row>
    <row r="23" ht="20" customHeight="1" s="59">
      <c r="A23" s="36" t="n">
        <v>18</v>
      </c>
      <c r="B23" s="62" t="n"/>
      <c r="C23" s="63" t="n"/>
      <c r="D23" s="64" t="n"/>
      <c r="E23" s="83" t="n"/>
      <c r="F23" s="84" t="n"/>
      <c r="G23" s="85">
        <f>E23+F23</f>
        <v/>
      </c>
      <c r="H23" s="62" t="n"/>
      <c r="I23" s="83" t="n"/>
      <c r="J23" s="84" t="n"/>
      <c r="K23" s="85">
        <f>I23+J23</f>
        <v/>
      </c>
      <c r="L23" s="46" t="n"/>
      <c r="M23" s="62" t="n"/>
      <c r="N23" s="85" t="n"/>
      <c r="O23" s="64" t="n"/>
    </row>
    <row r="24" ht="20" customHeight="1" s="59">
      <c r="A24" s="36" t="n">
        <v>19</v>
      </c>
      <c r="B24" s="62" t="n"/>
      <c r="C24" s="63" t="n"/>
      <c r="D24" s="64" t="n"/>
      <c r="E24" s="83" t="n"/>
      <c r="F24" s="84" t="n"/>
      <c r="G24" s="85">
        <f>E24+F24</f>
        <v/>
      </c>
      <c r="H24" s="62" t="n"/>
      <c r="I24" s="83" t="n"/>
      <c r="J24" s="84" t="n"/>
      <c r="K24" s="85">
        <f>I24+J24</f>
        <v/>
      </c>
      <c r="L24" s="46" t="n"/>
      <c r="M24" s="62" t="n"/>
      <c r="N24" s="85" t="n"/>
      <c r="O24" s="64" t="n"/>
    </row>
    <row r="25" ht="20" customHeight="1" s="59">
      <c r="A25" s="36" t="n">
        <v>20</v>
      </c>
      <c r="B25" s="62" t="n"/>
      <c r="C25" s="63" t="n"/>
      <c r="D25" s="64" t="n"/>
      <c r="E25" s="83" t="n"/>
      <c r="F25" s="84" t="n"/>
      <c r="G25" s="85">
        <f>E25+F25</f>
        <v/>
      </c>
      <c r="H25" s="62" t="n"/>
      <c r="I25" s="83" t="n"/>
      <c r="J25" s="84" t="n"/>
      <c r="K25" s="85">
        <f>I25+J25</f>
        <v/>
      </c>
      <c r="L25" s="46" t="n"/>
      <c r="M25" s="62" t="n"/>
      <c r="N25" s="85" t="n"/>
      <c r="O25" s="64" t="n"/>
    </row>
    <row r="26" ht="22" customHeight="1" s="59">
      <c r="A26" s="33" t="n"/>
      <c r="B26" s="70" t="inlineStr">
        <is>
          <t>합   계</t>
        </is>
      </c>
      <c r="C26" s="71" t="n"/>
      <c r="D26" s="72" t="n"/>
      <c r="E26" s="12">
        <f>SUM(E6:E25)</f>
        <v/>
      </c>
      <c r="F26" s="13">
        <f>SUM(F6:F25)</f>
        <v/>
      </c>
      <c r="G26" s="14">
        <f>E26+F26</f>
        <v/>
      </c>
      <c r="H26" s="70" t="n"/>
      <c r="I26" s="12">
        <f>SUM(I6:I25)</f>
        <v/>
      </c>
      <c r="J26" s="13">
        <f>SUM(J6:J25)</f>
        <v/>
      </c>
      <c r="K26" s="14">
        <f>I26+J26</f>
        <v/>
      </c>
      <c r="L26" s="14">
        <f>G26+K26</f>
        <v/>
      </c>
      <c r="M26" s="70" t="n"/>
      <c r="N26" s="14">
        <f>SUM(N6:N25)</f>
        <v/>
      </c>
      <c r="O26" s="15" t="n"/>
    </row>
    <row r="27" ht="20" customHeight="1" s="59">
      <c r="A27" s="34" t="n"/>
      <c r="B27" s="16" t="n"/>
      <c r="C27" s="16" t="n"/>
      <c r="D27" s="16" t="n"/>
      <c r="E27" s="17" t="n"/>
      <c r="F27" s="18" t="n"/>
      <c r="G27" s="19" t="n"/>
      <c r="H27" s="16" t="n"/>
      <c r="I27" s="20">
        <f>E26+I26</f>
        <v/>
      </c>
      <c r="J27" s="21">
        <f>F26+J26</f>
        <v/>
      </c>
      <c r="K27" s="19" t="n"/>
      <c r="L27" s="69">
        <f>K28/31</f>
        <v/>
      </c>
      <c r="M27" s="16" t="n"/>
      <c r="N27" s="19" t="n"/>
      <c r="O27" s="23" t="n"/>
    </row>
    <row r="28" ht="20" customHeight="1" s="59">
      <c r="A28" s="34" t="n"/>
      <c r="B28" s="16" t="n"/>
      <c r="C28" s="16" t="n"/>
      <c r="D28" s="16" t="n"/>
      <c r="E28" s="17" t="n"/>
      <c r="F28" s="18" t="n"/>
      <c r="G28" s="19" t="n"/>
      <c r="H28" s="16" t="n"/>
      <c r="I28" s="20">
        <f>'5월30일'!I28+I27</f>
        <v/>
      </c>
      <c r="J28" s="21">
        <f>'5월30일'!J28+J27</f>
        <v/>
      </c>
      <c r="K28" s="69">
        <f>'5월30일'!K28+L26</f>
        <v/>
      </c>
      <c r="L28" s="69">
        <f>'5월30일'!L28+L26</f>
        <v/>
      </c>
      <c r="M28" s="64" t="n"/>
      <c r="N28" s="19" t="n"/>
      <c r="O28" s="24">
        <f>'5월30일'!O28+N26</f>
        <v/>
      </c>
    </row>
    <row r="29" ht="20" customHeight="1" s="59">
      <c r="A29" s="35" t="n"/>
      <c r="B29" s="25" t="n"/>
      <c r="C29" s="25" t="n"/>
      <c r="D29" s="25" t="n"/>
      <c r="E29" s="26" t="n"/>
      <c r="F29" s="27" t="n"/>
      <c r="G29" s="28" t="n"/>
      <c r="H29" s="25" t="n"/>
      <c r="I29" s="86">
        <f>I28/K28</f>
        <v/>
      </c>
      <c r="J29" s="27" t="n"/>
      <c r="K29" s="28" t="n"/>
      <c r="L29" s="28" t="n"/>
      <c r="M29" s="25" t="n"/>
      <c r="N29" s="28" t="n"/>
      <c r="O29" s="30" t="n"/>
    </row>
  </sheetData>
  <mergeCells count="45">
    <mergeCell ref="B11:D11"/>
    <mergeCell ref="B14:D14"/>
    <mergeCell ref="N11:O11"/>
    <mergeCell ref="N20:O20"/>
    <mergeCell ref="B23:D23"/>
    <mergeCell ref="N7:O7"/>
    <mergeCell ref="B8:D8"/>
    <mergeCell ref="N16:O16"/>
    <mergeCell ref="B17:D17"/>
    <mergeCell ref="N25:O25"/>
    <mergeCell ref="B13:D13"/>
    <mergeCell ref="L28:M28"/>
    <mergeCell ref="N22:O22"/>
    <mergeCell ref="B10:D10"/>
    <mergeCell ref="B19:D19"/>
    <mergeCell ref="N21:O21"/>
    <mergeCell ref="N12:O12"/>
    <mergeCell ref="B9:D9"/>
    <mergeCell ref="N18:O18"/>
    <mergeCell ref="B15:D15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B26:D26"/>
    <mergeCell ref="N10:O10"/>
    <mergeCell ref="N19:O19"/>
    <mergeCell ref="B7:D7"/>
    <mergeCell ref="B25:D25"/>
    <mergeCell ref="N13:O13"/>
    <mergeCell ref="B16:D16"/>
    <mergeCell ref="N9:O9"/>
    <mergeCell ref="N15:O15"/>
    <mergeCell ref="N6:O6"/>
    <mergeCell ref="N24:O24"/>
    <mergeCell ref="B22:D22"/>
    <mergeCell ref="B18:D18"/>
    <mergeCell ref="B21:D21"/>
    <mergeCell ref="A1:O3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2026-05-30T06:37:23Z</dcterms:created>
  <dcterms:modified xsi:type="dcterms:W3CDTF">2026-05-30T09:57:10Z</dcterms:modified>
  <cp:lastModifiedBy>e30274</cp:lastModifiedBy>
</cp:coreProperties>
</file>